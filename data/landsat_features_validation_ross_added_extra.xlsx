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\Downloads\"/>
    </mc:Choice>
  </mc:AlternateContent>
  <xr:revisionPtr revIDLastSave="0" documentId="8_{0035B60D-0EBA-4F46-A448-33DFE23C237B}" xr6:coauthVersionLast="47" xr6:coauthVersionMax="47" xr10:uidLastSave="{00000000-0000-0000-0000-000000000000}"/>
  <bookViews>
    <workbookView xWindow="-120" yWindow="-120" windowWidth="29040" windowHeight="15720" xr2:uid="{FEB55321-0DEA-4051-B2A5-A0D9DF334302}"/>
  </bookViews>
  <sheets>
    <sheet name="landsat_features_validation_ros" sheetId="1" r:id="rId1"/>
  </sheets>
  <definedNames>
    <definedName name="_xlnm._FilterDatabase" localSheetId="0" hidden="1">landsat_features_validation_ros!$A$1:$AR$201</definedName>
  </definedNames>
  <calcPr calcId="0"/>
</workbook>
</file>

<file path=xl/calcChain.xml><?xml version="1.0" encoding="utf-8"?>
<calcChain xmlns="http://schemas.openxmlformats.org/spreadsheetml/2006/main">
  <c r="AJ2" i="1" l="1"/>
  <c r="AR4" i="1"/>
  <c r="AR6" i="1"/>
  <c r="AR7" i="1"/>
  <c r="AR8" i="1"/>
  <c r="AR9" i="1"/>
  <c r="AR10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2" i="1"/>
  <c r="AR34" i="1"/>
  <c r="AR35" i="1"/>
  <c r="AR36" i="1"/>
  <c r="AR37" i="1"/>
  <c r="AR38" i="1"/>
  <c r="AR39" i="1"/>
  <c r="AR40" i="1"/>
  <c r="AR41" i="1"/>
  <c r="AR42" i="1"/>
  <c r="AR43" i="1"/>
  <c r="AR44" i="1"/>
  <c r="AR47" i="1"/>
  <c r="AR49" i="1"/>
  <c r="AR50" i="1"/>
  <c r="AR51" i="1"/>
  <c r="AR52" i="1"/>
  <c r="AR53" i="1"/>
  <c r="AR54" i="1"/>
  <c r="AR55" i="1"/>
  <c r="AR56" i="1"/>
  <c r="AR57" i="1"/>
  <c r="AR59" i="1"/>
  <c r="AR60" i="1"/>
  <c r="AR61" i="1"/>
  <c r="AR62" i="1"/>
  <c r="AR63" i="1"/>
  <c r="AR64" i="1"/>
  <c r="AR65" i="1"/>
  <c r="AR66" i="1"/>
  <c r="AR68" i="1"/>
  <c r="AR69" i="1"/>
  <c r="AR70" i="1"/>
  <c r="AR71" i="1"/>
  <c r="AR72" i="1"/>
  <c r="AR73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5" i="1"/>
  <c r="AR116" i="1"/>
  <c r="AR118" i="1"/>
  <c r="AR119" i="1"/>
  <c r="AR120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2" i="1"/>
  <c r="AR143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3" i="1"/>
  <c r="AR194" i="1"/>
  <c r="AR195" i="1"/>
  <c r="AR196" i="1"/>
  <c r="AR197" i="1"/>
  <c r="AR198" i="1"/>
  <c r="AR199" i="1"/>
  <c r="AR200" i="1"/>
  <c r="AR2" i="1"/>
  <c r="AQ4" i="1"/>
  <c r="AQ6" i="1"/>
  <c r="AQ7" i="1"/>
  <c r="AQ8" i="1"/>
  <c r="AQ9" i="1"/>
  <c r="AQ10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2" i="1"/>
  <c r="AQ34" i="1"/>
  <c r="AQ35" i="1"/>
  <c r="AQ36" i="1"/>
  <c r="AQ37" i="1"/>
  <c r="AQ38" i="1"/>
  <c r="AQ39" i="1"/>
  <c r="AQ40" i="1"/>
  <c r="AQ41" i="1"/>
  <c r="AQ42" i="1"/>
  <c r="AQ43" i="1"/>
  <c r="AQ44" i="1"/>
  <c r="AQ47" i="1"/>
  <c r="AQ49" i="1"/>
  <c r="AQ50" i="1"/>
  <c r="AQ51" i="1"/>
  <c r="AQ52" i="1"/>
  <c r="AQ53" i="1"/>
  <c r="AQ54" i="1"/>
  <c r="AQ55" i="1"/>
  <c r="AQ56" i="1"/>
  <c r="AQ57" i="1"/>
  <c r="AQ59" i="1"/>
  <c r="AQ60" i="1"/>
  <c r="AQ61" i="1"/>
  <c r="AQ62" i="1"/>
  <c r="AQ63" i="1"/>
  <c r="AQ64" i="1"/>
  <c r="AQ65" i="1"/>
  <c r="AQ66" i="1"/>
  <c r="AQ68" i="1"/>
  <c r="AQ69" i="1"/>
  <c r="AQ70" i="1"/>
  <c r="AQ71" i="1"/>
  <c r="AQ72" i="1"/>
  <c r="AQ73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5" i="1"/>
  <c r="AQ116" i="1"/>
  <c r="AQ118" i="1"/>
  <c r="AQ119" i="1"/>
  <c r="AQ120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2" i="1"/>
  <c r="AQ143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3" i="1"/>
  <c r="AQ194" i="1"/>
  <c r="AQ195" i="1"/>
  <c r="AQ196" i="1"/>
  <c r="AQ197" i="1"/>
  <c r="AQ198" i="1"/>
  <c r="AQ199" i="1"/>
  <c r="AQ200" i="1"/>
  <c r="AQ2" i="1"/>
  <c r="AP4" i="1"/>
  <c r="AP6" i="1"/>
  <c r="AP7" i="1"/>
  <c r="AP8" i="1"/>
  <c r="AP9" i="1"/>
  <c r="AP10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2" i="1"/>
  <c r="AP34" i="1"/>
  <c r="AP35" i="1"/>
  <c r="AP36" i="1"/>
  <c r="AP37" i="1"/>
  <c r="AP38" i="1"/>
  <c r="AP39" i="1"/>
  <c r="AP40" i="1"/>
  <c r="AP41" i="1"/>
  <c r="AP42" i="1"/>
  <c r="AP43" i="1"/>
  <c r="AP44" i="1"/>
  <c r="AP47" i="1"/>
  <c r="AP49" i="1"/>
  <c r="AP50" i="1"/>
  <c r="AP51" i="1"/>
  <c r="AP52" i="1"/>
  <c r="AP53" i="1"/>
  <c r="AP54" i="1"/>
  <c r="AP55" i="1"/>
  <c r="AP56" i="1"/>
  <c r="AP57" i="1"/>
  <c r="AP59" i="1"/>
  <c r="AP60" i="1"/>
  <c r="AP61" i="1"/>
  <c r="AP62" i="1"/>
  <c r="AP63" i="1"/>
  <c r="AP64" i="1"/>
  <c r="AP65" i="1"/>
  <c r="AP66" i="1"/>
  <c r="AP68" i="1"/>
  <c r="AP69" i="1"/>
  <c r="AP70" i="1"/>
  <c r="AP71" i="1"/>
  <c r="AP72" i="1"/>
  <c r="AP73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5" i="1"/>
  <c r="AP116" i="1"/>
  <c r="AP118" i="1"/>
  <c r="AP119" i="1"/>
  <c r="AP120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2" i="1"/>
  <c r="AP143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3" i="1"/>
  <c r="AP194" i="1"/>
  <c r="AP195" i="1"/>
  <c r="AP196" i="1"/>
  <c r="AP197" i="1"/>
  <c r="AP198" i="1"/>
  <c r="AP199" i="1"/>
  <c r="AP200" i="1"/>
  <c r="AP2" i="1"/>
  <c r="AO4" i="1"/>
  <c r="AO6" i="1"/>
  <c r="AO7" i="1"/>
  <c r="AO8" i="1"/>
  <c r="AO9" i="1"/>
  <c r="AO10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2" i="1"/>
  <c r="AO34" i="1"/>
  <c r="AO35" i="1"/>
  <c r="AO36" i="1"/>
  <c r="AO37" i="1"/>
  <c r="AO38" i="1"/>
  <c r="AO39" i="1"/>
  <c r="AO40" i="1"/>
  <c r="AO41" i="1"/>
  <c r="AO42" i="1"/>
  <c r="AO43" i="1"/>
  <c r="AO44" i="1"/>
  <c r="AO47" i="1"/>
  <c r="AO49" i="1"/>
  <c r="AO50" i="1"/>
  <c r="AO51" i="1"/>
  <c r="AO52" i="1"/>
  <c r="AO53" i="1"/>
  <c r="AO54" i="1"/>
  <c r="AO55" i="1"/>
  <c r="AO56" i="1"/>
  <c r="AO57" i="1"/>
  <c r="AO59" i="1"/>
  <c r="AO60" i="1"/>
  <c r="AO61" i="1"/>
  <c r="AO62" i="1"/>
  <c r="AO63" i="1"/>
  <c r="AO64" i="1"/>
  <c r="AO65" i="1"/>
  <c r="AO66" i="1"/>
  <c r="AO68" i="1"/>
  <c r="AO69" i="1"/>
  <c r="AO70" i="1"/>
  <c r="AO71" i="1"/>
  <c r="AO72" i="1"/>
  <c r="AO73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5" i="1"/>
  <c r="AO116" i="1"/>
  <c r="AO118" i="1"/>
  <c r="AO119" i="1"/>
  <c r="AO120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2" i="1"/>
  <c r="AO143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3" i="1"/>
  <c r="AO194" i="1"/>
  <c r="AO195" i="1"/>
  <c r="AO196" i="1"/>
  <c r="AO197" i="1"/>
  <c r="AO198" i="1"/>
  <c r="AO199" i="1"/>
  <c r="AO200" i="1"/>
  <c r="AO2" i="1"/>
  <c r="AN4" i="1"/>
  <c r="AN6" i="1"/>
  <c r="AN7" i="1"/>
  <c r="AN8" i="1"/>
  <c r="AN9" i="1"/>
  <c r="AN10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2" i="1"/>
  <c r="AN34" i="1"/>
  <c r="AN35" i="1"/>
  <c r="AN36" i="1"/>
  <c r="AN37" i="1"/>
  <c r="AN38" i="1"/>
  <c r="AN39" i="1"/>
  <c r="AN40" i="1"/>
  <c r="AN41" i="1"/>
  <c r="AN42" i="1"/>
  <c r="AN43" i="1"/>
  <c r="AN44" i="1"/>
  <c r="AN47" i="1"/>
  <c r="AN49" i="1"/>
  <c r="AN50" i="1"/>
  <c r="AN51" i="1"/>
  <c r="AN52" i="1"/>
  <c r="AN53" i="1"/>
  <c r="AN54" i="1"/>
  <c r="AN55" i="1"/>
  <c r="AN56" i="1"/>
  <c r="AN57" i="1"/>
  <c r="AN59" i="1"/>
  <c r="AN60" i="1"/>
  <c r="AN61" i="1"/>
  <c r="AN62" i="1"/>
  <c r="AN63" i="1"/>
  <c r="AN64" i="1"/>
  <c r="AN65" i="1"/>
  <c r="AN66" i="1"/>
  <c r="AN68" i="1"/>
  <c r="AN69" i="1"/>
  <c r="AN70" i="1"/>
  <c r="AN71" i="1"/>
  <c r="AN72" i="1"/>
  <c r="AN73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5" i="1"/>
  <c r="AN116" i="1"/>
  <c r="AN118" i="1"/>
  <c r="AN119" i="1"/>
  <c r="AN120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2" i="1"/>
  <c r="AN143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3" i="1"/>
  <c r="AN194" i="1"/>
  <c r="AN195" i="1"/>
  <c r="AN196" i="1"/>
  <c r="AN197" i="1"/>
  <c r="AN198" i="1"/>
  <c r="AN199" i="1"/>
  <c r="AN200" i="1"/>
  <c r="AN2" i="1"/>
  <c r="AM4" i="1"/>
  <c r="AM6" i="1"/>
  <c r="AM7" i="1"/>
  <c r="AM8" i="1"/>
  <c r="AM9" i="1"/>
  <c r="AM10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2" i="1"/>
  <c r="AM34" i="1"/>
  <c r="AM35" i="1"/>
  <c r="AM36" i="1"/>
  <c r="AM37" i="1"/>
  <c r="AM38" i="1"/>
  <c r="AM39" i="1"/>
  <c r="AM40" i="1"/>
  <c r="AM41" i="1"/>
  <c r="AM42" i="1"/>
  <c r="AM43" i="1"/>
  <c r="AM44" i="1"/>
  <c r="AM47" i="1"/>
  <c r="AM49" i="1"/>
  <c r="AM50" i="1"/>
  <c r="AM51" i="1"/>
  <c r="AM52" i="1"/>
  <c r="AM53" i="1"/>
  <c r="AM54" i="1"/>
  <c r="AM55" i="1"/>
  <c r="AM56" i="1"/>
  <c r="AM57" i="1"/>
  <c r="AM59" i="1"/>
  <c r="AM60" i="1"/>
  <c r="AM61" i="1"/>
  <c r="AM62" i="1"/>
  <c r="AM63" i="1"/>
  <c r="AM64" i="1"/>
  <c r="AM65" i="1"/>
  <c r="AM66" i="1"/>
  <c r="AM68" i="1"/>
  <c r="AM69" i="1"/>
  <c r="AM70" i="1"/>
  <c r="AM71" i="1"/>
  <c r="AM72" i="1"/>
  <c r="AM73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5" i="1"/>
  <c r="AM116" i="1"/>
  <c r="AM118" i="1"/>
  <c r="AM119" i="1"/>
  <c r="AM120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2" i="1"/>
  <c r="AM143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3" i="1"/>
  <c r="AM194" i="1"/>
  <c r="AM195" i="1"/>
  <c r="AM196" i="1"/>
  <c r="AM197" i="1"/>
  <c r="AM198" i="1"/>
  <c r="AM199" i="1"/>
  <c r="AM200" i="1"/>
  <c r="AM2" i="1"/>
  <c r="AL4" i="1"/>
  <c r="AL6" i="1"/>
  <c r="AL7" i="1"/>
  <c r="AL8" i="1"/>
  <c r="AL9" i="1"/>
  <c r="AL10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2" i="1"/>
  <c r="AL34" i="1"/>
  <c r="AL35" i="1"/>
  <c r="AL36" i="1"/>
  <c r="AL37" i="1"/>
  <c r="AL38" i="1"/>
  <c r="AL39" i="1"/>
  <c r="AL40" i="1"/>
  <c r="AL41" i="1"/>
  <c r="AL42" i="1"/>
  <c r="AL43" i="1"/>
  <c r="AL44" i="1"/>
  <c r="AL47" i="1"/>
  <c r="AL49" i="1"/>
  <c r="AL50" i="1"/>
  <c r="AL51" i="1"/>
  <c r="AL52" i="1"/>
  <c r="AL53" i="1"/>
  <c r="AL54" i="1"/>
  <c r="AL55" i="1"/>
  <c r="AL56" i="1"/>
  <c r="AL57" i="1"/>
  <c r="AL59" i="1"/>
  <c r="AL60" i="1"/>
  <c r="AL61" i="1"/>
  <c r="AL62" i="1"/>
  <c r="AL63" i="1"/>
  <c r="AL64" i="1"/>
  <c r="AL65" i="1"/>
  <c r="AL66" i="1"/>
  <c r="AL68" i="1"/>
  <c r="AL69" i="1"/>
  <c r="AL70" i="1"/>
  <c r="AL71" i="1"/>
  <c r="AL72" i="1"/>
  <c r="AL73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5" i="1"/>
  <c r="AL116" i="1"/>
  <c r="AL118" i="1"/>
  <c r="AL119" i="1"/>
  <c r="AL120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2" i="1"/>
  <c r="AL143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3" i="1"/>
  <c r="AL194" i="1"/>
  <c r="AL195" i="1"/>
  <c r="AL196" i="1"/>
  <c r="AL197" i="1"/>
  <c r="AL198" i="1"/>
  <c r="AL199" i="1"/>
  <c r="AL200" i="1"/>
  <c r="AL2" i="1"/>
  <c r="AK4" i="1"/>
  <c r="AK6" i="1"/>
  <c r="AK7" i="1"/>
  <c r="AK8" i="1"/>
  <c r="AK9" i="1"/>
  <c r="AK10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2" i="1"/>
  <c r="AK34" i="1"/>
  <c r="AK35" i="1"/>
  <c r="AK36" i="1"/>
  <c r="AK37" i="1"/>
  <c r="AK38" i="1"/>
  <c r="AK39" i="1"/>
  <c r="AK40" i="1"/>
  <c r="AK41" i="1"/>
  <c r="AK42" i="1"/>
  <c r="AK43" i="1"/>
  <c r="AK44" i="1"/>
  <c r="AK47" i="1"/>
  <c r="AK49" i="1"/>
  <c r="AK50" i="1"/>
  <c r="AK51" i="1"/>
  <c r="AK52" i="1"/>
  <c r="AK53" i="1"/>
  <c r="AK54" i="1"/>
  <c r="AK55" i="1"/>
  <c r="AK56" i="1"/>
  <c r="AK57" i="1"/>
  <c r="AK59" i="1"/>
  <c r="AK60" i="1"/>
  <c r="AK61" i="1"/>
  <c r="AK62" i="1"/>
  <c r="AK63" i="1"/>
  <c r="AK64" i="1"/>
  <c r="AK65" i="1"/>
  <c r="AK66" i="1"/>
  <c r="AK68" i="1"/>
  <c r="AK69" i="1"/>
  <c r="AK70" i="1"/>
  <c r="AK71" i="1"/>
  <c r="AK72" i="1"/>
  <c r="AK73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5" i="1"/>
  <c r="AK116" i="1"/>
  <c r="AK118" i="1"/>
  <c r="AK119" i="1"/>
  <c r="AK120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2" i="1"/>
  <c r="AK143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3" i="1"/>
  <c r="AK194" i="1"/>
  <c r="AK195" i="1"/>
  <c r="AK196" i="1"/>
  <c r="AK197" i="1"/>
  <c r="AK198" i="1"/>
  <c r="AK199" i="1"/>
  <c r="AK200" i="1"/>
  <c r="AK2" i="1"/>
  <c r="AJ4" i="1"/>
  <c r="AJ6" i="1"/>
  <c r="AJ7" i="1"/>
  <c r="AJ8" i="1"/>
  <c r="AJ9" i="1"/>
  <c r="AJ10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2" i="1"/>
  <c r="AJ34" i="1"/>
  <c r="AJ35" i="1"/>
  <c r="AJ36" i="1"/>
  <c r="AJ37" i="1"/>
  <c r="AJ38" i="1"/>
  <c r="AJ39" i="1"/>
  <c r="AJ40" i="1"/>
  <c r="AJ41" i="1"/>
  <c r="AJ42" i="1"/>
  <c r="AJ43" i="1"/>
  <c r="AJ44" i="1"/>
  <c r="AJ47" i="1"/>
  <c r="AJ49" i="1"/>
  <c r="AJ50" i="1"/>
  <c r="AJ51" i="1"/>
  <c r="AJ52" i="1"/>
  <c r="AJ53" i="1"/>
  <c r="AJ54" i="1"/>
  <c r="AJ55" i="1"/>
  <c r="AJ56" i="1"/>
  <c r="AJ57" i="1"/>
  <c r="AJ59" i="1"/>
  <c r="AJ60" i="1"/>
  <c r="AJ61" i="1"/>
  <c r="AJ62" i="1"/>
  <c r="AJ63" i="1"/>
  <c r="AJ64" i="1"/>
  <c r="AJ65" i="1"/>
  <c r="AJ66" i="1"/>
  <c r="AJ68" i="1"/>
  <c r="AJ69" i="1"/>
  <c r="AJ70" i="1"/>
  <c r="AJ71" i="1"/>
  <c r="AJ72" i="1"/>
  <c r="AJ73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5" i="1"/>
  <c r="AJ116" i="1"/>
  <c r="AJ118" i="1"/>
  <c r="AJ119" i="1"/>
  <c r="AJ120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2" i="1"/>
  <c r="AJ143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3" i="1"/>
  <c r="AJ194" i="1"/>
  <c r="AJ195" i="1"/>
  <c r="AJ196" i="1"/>
  <c r="AJ197" i="1"/>
  <c r="AJ198" i="1"/>
  <c r="AJ199" i="1"/>
  <c r="AJ200" i="1"/>
  <c r="AI2" i="1"/>
  <c r="AI4" i="1"/>
  <c r="AI6" i="1"/>
  <c r="AI7" i="1"/>
  <c r="AI8" i="1"/>
  <c r="AI9" i="1"/>
  <c r="AI10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2" i="1"/>
  <c r="AI34" i="1"/>
  <c r="AI35" i="1"/>
  <c r="AI36" i="1"/>
  <c r="AI37" i="1"/>
  <c r="AI38" i="1"/>
  <c r="AI39" i="1"/>
  <c r="AI40" i="1"/>
  <c r="AI41" i="1"/>
  <c r="AI42" i="1"/>
  <c r="AI43" i="1"/>
  <c r="AI44" i="1"/>
  <c r="AI47" i="1"/>
  <c r="AI49" i="1"/>
  <c r="AI50" i="1"/>
  <c r="AI51" i="1"/>
  <c r="AI52" i="1"/>
  <c r="AI53" i="1"/>
  <c r="AI54" i="1"/>
  <c r="AI55" i="1"/>
  <c r="AI56" i="1"/>
  <c r="AI57" i="1"/>
  <c r="AI59" i="1"/>
  <c r="AI60" i="1"/>
  <c r="AI61" i="1"/>
  <c r="AI62" i="1"/>
  <c r="AI63" i="1"/>
  <c r="AI64" i="1"/>
  <c r="AI65" i="1"/>
  <c r="AI66" i="1"/>
  <c r="AI68" i="1"/>
  <c r="AI69" i="1"/>
  <c r="AI70" i="1"/>
  <c r="AI71" i="1"/>
  <c r="AI72" i="1"/>
  <c r="AI73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5" i="1"/>
  <c r="AI116" i="1"/>
  <c r="AI118" i="1"/>
  <c r="AI119" i="1"/>
  <c r="AI120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2" i="1"/>
  <c r="AI143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3" i="1"/>
  <c r="AI194" i="1"/>
  <c r="AI195" i="1"/>
  <c r="AI196" i="1"/>
  <c r="AI197" i="1"/>
  <c r="AI198" i="1"/>
  <c r="AI199" i="1"/>
  <c r="AI200" i="1"/>
  <c r="AH4" i="1"/>
  <c r="AH6" i="1"/>
  <c r="AH7" i="1"/>
  <c r="AH8" i="1"/>
  <c r="AH9" i="1"/>
  <c r="AH10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2" i="1"/>
  <c r="AH34" i="1"/>
  <c r="AH35" i="1"/>
  <c r="AH36" i="1"/>
  <c r="AH37" i="1"/>
  <c r="AH38" i="1"/>
  <c r="AH39" i="1"/>
  <c r="AH40" i="1"/>
  <c r="AH41" i="1"/>
  <c r="AH42" i="1"/>
  <c r="AH43" i="1"/>
  <c r="AH44" i="1"/>
  <c r="AH47" i="1"/>
  <c r="AH49" i="1"/>
  <c r="AH50" i="1"/>
  <c r="AH51" i="1"/>
  <c r="AH52" i="1"/>
  <c r="AH53" i="1"/>
  <c r="AH54" i="1"/>
  <c r="AH55" i="1"/>
  <c r="AH56" i="1"/>
  <c r="AH57" i="1"/>
  <c r="AH59" i="1"/>
  <c r="AH60" i="1"/>
  <c r="AH61" i="1"/>
  <c r="AH62" i="1"/>
  <c r="AH63" i="1"/>
  <c r="AH64" i="1"/>
  <c r="AH65" i="1"/>
  <c r="AH66" i="1"/>
  <c r="AH68" i="1"/>
  <c r="AH69" i="1"/>
  <c r="AH70" i="1"/>
  <c r="AH71" i="1"/>
  <c r="AH72" i="1"/>
  <c r="AH73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5" i="1"/>
  <c r="AH116" i="1"/>
  <c r="AH118" i="1"/>
  <c r="AH119" i="1"/>
  <c r="AH120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2" i="1"/>
  <c r="AH143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3" i="1"/>
  <c r="AH194" i="1"/>
  <c r="AH195" i="1"/>
  <c r="AH196" i="1"/>
  <c r="AH197" i="1"/>
  <c r="AH198" i="1"/>
  <c r="AH199" i="1"/>
  <c r="AH200" i="1"/>
  <c r="AG4" i="1"/>
  <c r="AG6" i="1"/>
  <c r="AG7" i="1"/>
  <c r="AG8" i="1"/>
  <c r="AG9" i="1"/>
  <c r="AG10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2" i="1"/>
  <c r="AG34" i="1"/>
  <c r="AG35" i="1"/>
  <c r="AG36" i="1"/>
  <c r="AG37" i="1"/>
  <c r="AG38" i="1"/>
  <c r="AG39" i="1"/>
  <c r="AG40" i="1"/>
  <c r="AG41" i="1"/>
  <c r="AG42" i="1"/>
  <c r="AG43" i="1"/>
  <c r="AG44" i="1"/>
  <c r="AG47" i="1"/>
  <c r="AG49" i="1"/>
  <c r="AG50" i="1"/>
  <c r="AG51" i="1"/>
  <c r="AG52" i="1"/>
  <c r="AG53" i="1"/>
  <c r="AG54" i="1"/>
  <c r="AG55" i="1"/>
  <c r="AG56" i="1"/>
  <c r="AG57" i="1"/>
  <c r="AG59" i="1"/>
  <c r="AG60" i="1"/>
  <c r="AG61" i="1"/>
  <c r="AG62" i="1"/>
  <c r="AG63" i="1"/>
  <c r="AG64" i="1"/>
  <c r="AG65" i="1"/>
  <c r="AG66" i="1"/>
  <c r="AG68" i="1"/>
  <c r="AG69" i="1"/>
  <c r="AG70" i="1"/>
  <c r="AG71" i="1"/>
  <c r="AG72" i="1"/>
  <c r="AG73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5" i="1"/>
  <c r="AG116" i="1"/>
  <c r="AG118" i="1"/>
  <c r="AG119" i="1"/>
  <c r="AG120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2" i="1"/>
  <c r="AG143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3" i="1"/>
  <c r="AG194" i="1"/>
  <c r="AG195" i="1"/>
  <c r="AG196" i="1"/>
  <c r="AG197" i="1"/>
  <c r="AG198" i="1"/>
  <c r="AG199" i="1"/>
  <c r="AG200" i="1"/>
  <c r="AG2" i="1"/>
  <c r="AH2" i="1"/>
</calcChain>
</file>

<file path=xl/sharedStrings.xml><?xml version="1.0" encoding="utf-8"?>
<sst xmlns="http://schemas.openxmlformats.org/spreadsheetml/2006/main" count="43" uniqueCount="43">
  <si>
    <t>Latitude</t>
  </si>
  <si>
    <t>Longitude</t>
  </si>
  <si>
    <t>Sample Date</t>
  </si>
  <si>
    <t>Total Alkalinity</t>
  </si>
  <si>
    <t>Electrical Conductance</t>
  </si>
  <si>
    <t>Dissolved Reactive Phosphorus</t>
  </si>
  <si>
    <t>qa</t>
  </si>
  <si>
    <t>red</t>
  </si>
  <si>
    <t>blue</t>
  </si>
  <si>
    <t>drad</t>
  </si>
  <si>
    <t>emis</t>
  </si>
  <si>
    <t>emsd</t>
  </si>
  <si>
    <t>lwir</t>
  </si>
  <si>
    <t>trad</t>
  </si>
  <si>
    <t>urad</t>
  </si>
  <si>
    <t>atran</t>
  </si>
  <si>
    <t>cdist</t>
  </si>
  <si>
    <t>green</t>
  </si>
  <si>
    <t>nir08</t>
  </si>
  <si>
    <t>lwir.1</t>
  </si>
  <si>
    <t>swir16</t>
  </si>
  <si>
    <t>swir22</t>
  </si>
  <si>
    <t>cloud_qa</t>
  </si>
  <si>
    <t>qa_pixel</t>
  </si>
  <si>
    <t>qa_radsat</t>
  </si>
  <si>
    <t>atmos_opacity</t>
  </si>
  <si>
    <t>NVDI</t>
  </si>
  <si>
    <t>SAVI</t>
  </si>
  <si>
    <t>BSI</t>
  </si>
  <si>
    <t>NDBI</t>
  </si>
  <si>
    <t>TCWI</t>
  </si>
  <si>
    <t>EVI</t>
  </si>
  <si>
    <t>OSAVI</t>
  </si>
  <si>
    <t>GNDVI</t>
  </si>
  <si>
    <t>GCVI</t>
  </si>
  <si>
    <t>MSI</t>
  </si>
  <si>
    <t>NBR</t>
  </si>
  <si>
    <t>Green/Red Ratio</t>
  </si>
  <si>
    <t>NDGI</t>
  </si>
  <si>
    <t>UI (Urban Index)</t>
  </si>
  <si>
    <t>NBR2</t>
  </si>
  <si>
    <t>Red/NIR Ratio</t>
  </si>
  <si>
    <t>Green/NIR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</si>
</sst>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497A-7E95-4A6A-9F88-B5B8AD2A4513}">
  <dimension ref="A1:AR201"/>
  <sheetViews>
    <sheetView tabSelected="1" topLeftCell="P1" workbookViewId="0">
      <selection activeCell="AJ4" sqref="AJ4"/>
    </sheetView>
  </sheetViews>
  <sheetFormatPr defaultRowHeight="15" x14ac:dyDescent="0.25"/>
  <cols>
    <col min="28" max="38" width="9.140625" customWidth="1"/>
  </cols>
  <sheetData>
    <row r="1" spans="1:4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5">
      <c r="A2">
        <v>0</v>
      </c>
      <c r="B2">
        <v>-32.043332999999997</v>
      </c>
      <c r="C2">
        <v>27.822778</v>
      </c>
      <c r="D2" s="1">
        <v>41883</v>
      </c>
      <c r="H2">
        <v>609</v>
      </c>
      <c r="I2">
        <v>13210</v>
      </c>
      <c r="J2">
        <v>11282</v>
      </c>
      <c r="K2">
        <v>441</v>
      </c>
      <c r="L2">
        <v>9704</v>
      </c>
      <c r="M2">
        <v>39</v>
      </c>
      <c r="O2">
        <v>7226.5</v>
      </c>
      <c r="P2">
        <v>821</v>
      </c>
      <c r="Q2">
        <v>8729</v>
      </c>
      <c r="S2">
        <v>12868</v>
      </c>
      <c r="T2">
        <v>15229</v>
      </c>
      <c r="V2">
        <v>14797</v>
      </c>
      <c r="W2">
        <v>12421</v>
      </c>
      <c r="Y2">
        <v>22280</v>
      </c>
      <c r="AB2">
        <v>7.0994057456310003E-2</v>
      </c>
      <c r="AC2">
        <v>0.106489213945392</v>
      </c>
      <c r="AD2">
        <v>2.74404783741149E-2</v>
      </c>
      <c r="AE2">
        <v>-1.4387530806634199E-2</v>
      </c>
      <c r="AF2">
        <v>-2424.8289</v>
      </c>
      <c r="AG2">
        <f>(2.5*(T2-I2))/(T2+6*I2-7.5*J2+1)</f>
        <v>0.51113924050632908</v>
      </c>
      <c r="AH2">
        <f>(1.16*(T2-I2))/(T2+I2+0.16)</f>
        <v>8.2352643327018096E-2</v>
      </c>
      <c r="AI2">
        <f>(T2-S2)/(T2+S2)</f>
        <v>8.4030323522084213E-2</v>
      </c>
      <c r="AJ2">
        <f>(T2-S2)-1</f>
        <v>2360</v>
      </c>
      <c r="AK2">
        <f>V2/T2</f>
        <v>0.97163306848775366</v>
      </c>
      <c r="AL2">
        <f>(T2-W2)/(T2+W2)</f>
        <v>0.10155515370705244</v>
      </c>
      <c r="AM2">
        <f>S2/I2</f>
        <v>0.97411052233156703</v>
      </c>
      <c r="AN2">
        <f>(S2-I2)/(S2+I2)</f>
        <v>-1.3114502645908429E-2</v>
      </c>
      <c r="AO2">
        <f>((V2/T2)-(I2/S2))</f>
        <v>-5.4944488242118839E-2</v>
      </c>
      <c r="AP2">
        <f>(V2-W2)/(V2+W2)</f>
        <v>8.72951723124403E-2</v>
      </c>
      <c r="AQ2">
        <f>I2/T2</f>
        <v>0.86742399369623746</v>
      </c>
      <c r="AR2">
        <f>S2/T2</f>
        <v>0.84496683958237573</v>
      </c>
    </row>
    <row r="3" spans="1:44" x14ac:dyDescent="0.25">
      <c r="A3">
        <v>1</v>
      </c>
      <c r="B3">
        <v>-33.329166999999998</v>
      </c>
      <c r="C3">
        <v>26.077500000000001</v>
      </c>
      <c r="D3" s="1">
        <v>42263</v>
      </c>
      <c r="H3">
        <v>-9999</v>
      </c>
      <c r="K3">
        <v>-4676.5</v>
      </c>
      <c r="L3">
        <v>-9999</v>
      </c>
      <c r="M3">
        <v>-9999</v>
      </c>
      <c r="O3">
        <v>-702</v>
      </c>
      <c r="P3">
        <v>-4355</v>
      </c>
      <c r="Q3">
        <v>-827.5</v>
      </c>
      <c r="R3">
        <v>-9999</v>
      </c>
      <c r="Y3">
        <v>1</v>
      </c>
      <c r="AA3">
        <v>-9999</v>
      </c>
    </row>
    <row r="4" spans="1:44" x14ac:dyDescent="0.25">
      <c r="A4">
        <v>2</v>
      </c>
      <c r="B4">
        <v>-32.991638889999997</v>
      </c>
      <c r="C4">
        <v>27.64002778</v>
      </c>
      <c r="D4" s="1">
        <v>42131</v>
      </c>
      <c r="H4">
        <v>203.5</v>
      </c>
      <c r="I4">
        <v>9145</v>
      </c>
      <c r="J4">
        <v>8111.5</v>
      </c>
      <c r="K4">
        <v>653</v>
      </c>
      <c r="L4">
        <v>9837</v>
      </c>
      <c r="M4">
        <v>47</v>
      </c>
      <c r="O4">
        <v>9005.5</v>
      </c>
      <c r="P4">
        <v>1302</v>
      </c>
      <c r="Q4">
        <v>8352</v>
      </c>
      <c r="R4">
        <v>955.5</v>
      </c>
      <c r="S4">
        <v>9304.5</v>
      </c>
      <c r="T4">
        <v>16221</v>
      </c>
      <c r="V4">
        <v>12536.5</v>
      </c>
      <c r="W4">
        <v>9958</v>
      </c>
      <c r="Y4">
        <v>21824</v>
      </c>
      <c r="AB4">
        <v>0.27895608294567498</v>
      </c>
      <c r="AC4">
        <v>0.41842587664833503</v>
      </c>
      <c r="AD4">
        <v>-5.7612900421610803E-2</v>
      </c>
      <c r="AE4">
        <v>-0.128123098322176</v>
      </c>
      <c r="AF4">
        <v>-1871.85554999999</v>
      </c>
      <c r="AG4">
        <f t="shared" ref="AG3:AG66" si="0">(2.5*(T4-I4))/(T4+6*I4-7.5*J4+1)</f>
        <v>1.7248860395387953</v>
      </c>
      <c r="AH4">
        <f t="shared" ref="AH3:AH66" si="1">(1.16*(T4-I4))/(T4+I4+0.16)</f>
        <v>0.32358701514143251</v>
      </c>
      <c r="AI4">
        <f t="shared" ref="AI3:AI66" si="2">(T4-S4)/(T4+S4)</f>
        <v>0.27096432978785923</v>
      </c>
      <c r="AJ4">
        <f t="shared" ref="AJ3:AJ66" si="3">(T4-S4)-1</f>
        <v>6915.5</v>
      </c>
      <c r="AK4">
        <f t="shared" ref="AK3:AK66" si="4">V4/T4</f>
        <v>0.7728561740953086</v>
      </c>
      <c r="AL4">
        <f t="shared" ref="AL3:AL66" si="5">(T4-W4)/(T4+W4)</f>
        <v>0.23923755682035219</v>
      </c>
      <c r="AM4">
        <f t="shared" ref="AM3:AM66" si="6">S4/I4</f>
        <v>1.0174412247129578</v>
      </c>
      <c r="AN4">
        <f t="shared" ref="AN3:AN66" si="7">(S4-I4)/(S4+I4)</f>
        <v>8.6452207376893683E-3</v>
      </c>
      <c r="AO4">
        <f t="shared" ref="AO3:AO66" si="8">((V4/T4)-(I4/S4))</f>
        <v>-0.21000158290399284</v>
      </c>
      <c r="AP4">
        <f t="shared" ref="AP3:AP66" si="9">(V4-W4)/(V4+W4)</f>
        <v>0.11462802018271133</v>
      </c>
      <c r="AQ4">
        <f t="shared" ref="AQ3:AQ66" si="10">I4/T4</f>
        <v>0.5637753529375501</v>
      </c>
      <c r="AR4">
        <f t="shared" ref="AR3:AR66" si="11">S4/T4</f>
        <v>0.57360828555576104</v>
      </c>
    </row>
    <row r="5" spans="1:44" x14ac:dyDescent="0.25">
      <c r="A5">
        <v>3</v>
      </c>
      <c r="B5">
        <v>-34.096389000000002</v>
      </c>
      <c r="C5">
        <v>24.439167000000001</v>
      </c>
      <c r="D5" s="1">
        <v>40946</v>
      </c>
      <c r="H5">
        <v>-9999</v>
      </c>
      <c r="K5">
        <v>-9999</v>
      </c>
      <c r="L5">
        <v>-9999</v>
      </c>
      <c r="M5">
        <v>-9999</v>
      </c>
      <c r="O5">
        <v>-9999</v>
      </c>
      <c r="P5">
        <v>-9999</v>
      </c>
      <c r="Q5">
        <v>-9999</v>
      </c>
      <c r="R5">
        <v>-9999</v>
      </c>
      <c r="Y5">
        <v>1</v>
      </c>
      <c r="AA5">
        <v>-9999</v>
      </c>
    </row>
    <row r="6" spans="1:44" x14ac:dyDescent="0.25">
      <c r="A6">
        <v>4</v>
      </c>
      <c r="B6">
        <v>-32.000555560000002</v>
      </c>
      <c r="C6">
        <v>28.581666670000001</v>
      </c>
      <c r="D6" s="1">
        <v>41913</v>
      </c>
      <c r="H6">
        <v>209</v>
      </c>
      <c r="I6">
        <v>11166</v>
      </c>
      <c r="J6">
        <v>9504</v>
      </c>
      <c r="K6">
        <v>778</v>
      </c>
      <c r="L6">
        <v>9824</v>
      </c>
      <c r="O6">
        <v>9074.5</v>
      </c>
      <c r="P6">
        <v>1577.5</v>
      </c>
      <c r="Q6">
        <v>7928.5</v>
      </c>
      <c r="R6">
        <v>738.5</v>
      </c>
      <c r="S6">
        <v>11100.5</v>
      </c>
      <c r="T6">
        <v>9125</v>
      </c>
      <c r="V6">
        <v>9455</v>
      </c>
      <c r="W6">
        <v>8711</v>
      </c>
      <c r="Y6">
        <v>21952</v>
      </c>
      <c r="AB6">
        <v>-0.10058646690651001</v>
      </c>
      <c r="AC6">
        <v>-0.15087598255427101</v>
      </c>
      <c r="AD6">
        <v>5.07515923566879E-2</v>
      </c>
      <c r="AE6">
        <v>1.77610333692142E-2</v>
      </c>
      <c r="AF6">
        <v>-299.60004999999899</v>
      </c>
      <c r="AG6">
        <f t="shared" si="0"/>
        <v>-1.0538000826104916</v>
      </c>
      <c r="AH6">
        <f t="shared" si="1"/>
        <v>-0.11667938156320289</v>
      </c>
      <c r="AI6">
        <f t="shared" si="2"/>
        <v>-9.7673728708808194E-2</v>
      </c>
      <c r="AJ6">
        <f t="shared" si="3"/>
        <v>-1976.5</v>
      </c>
      <c r="AK6">
        <f t="shared" si="4"/>
        <v>1.0361643835616439</v>
      </c>
      <c r="AL6">
        <f t="shared" si="5"/>
        <v>2.3211482395155865E-2</v>
      </c>
      <c r="AM6">
        <f t="shared" si="6"/>
        <v>0.99413397814794913</v>
      </c>
      <c r="AN6">
        <f t="shared" si="7"/>
        <v>-2.9416387847214427E-3</v>
      </c>
      <c r="AO6">
        <f t="shared" si="8"/>
        <v>3.0263748455117145E-2</v>
      </c>
      <c r="AP6">
        <f t="shared" si="9"/>
        <v>4.0955631399317405E-2</v>
      </c>
      <c r="AQ6">
        <f t="shared" si="10"/>
        <v>1.2236712328767123</v>
      </c>
      <c r="AR6">
        <f t="shared" si="11"/>
        <v>1.2164931506849315</v>
      </c>
    </row>
    <row r="7" spans="1:44" x14ac:dyDescent="0.25">
      <c r="A7">
        <v>5</v>
      </c>
      <c r="B7">
        <v>-32.086390000000002</v>
      </c>
      <c r="C7">
        <v>25.575559999999999</v>
      </c>
      <c r="D7" s="1">
        <v>41474</v>
      </c>
      <c r="H7">
        <v>206</v>
      </c>
      <c r="I7">
        <v>11530.5</v>
      </c>
      <c r="J7">
        <v>9285.5</v>
      </c>
      <c r="K7">
        <v>357</v>
      </c>
      <c r="L7">
        <v>9733.5</v>
      </c>
      <c r="M7">
        <v>49</v>
      </c>
      <c r="O7">
        <v>7628</v>
      </c>
      <c r="P7">
        <v>655.5</v>
      </c>
      <c r="Q7">
        <v>9000.5</v>
      </c>
      <c r="R7">
        <v>1001.5</v>
      </c>
      <c r="S7">
        <v>10552.5</v>
      </c>
      <c r="T7">
        <v>13355</v>
      </c>
      <c r="V7">
        <v>13501.5</v>
      </c>
      <c r="W7">
        <v>10943</v>
      </c>
      <c r="Y7">
        <v>21824</v>
      </c>
      <c r="AB7">
        <v>7.3315786301259706E-2</v>
      </c>
      <c r="AC7">
        <v>0.109971469902756</v>
      </c>
      <c r="AD7">
        <v>5.0165189574702299E-2</v>
      </c>
      <c r="AE7">
        <v>5.4549178038836004E-3</v>
      </c>
      <c r="AF7">
        <v>-2777.3723</v>
      </c>
      <c r="AG7">
        <f t="shared" si="0"/>
        <v>0.35364695392607237</v>
      </c>
      <c r="AH7">
        <f t="shared" si="1"/>
        <v>8.5045765312232027E-2</v>
      </c>
      <c r="AI7">
        <f t="shared" si="2"/>
        <v>0.11722262888214996</v>
      </c>
      <c r="AJ7">
        <f t="shared" si="3"/>
        <v>2801.5</v>
      </c>
      <c r="AK7">
        <f t="shared" si="4"/>
        <v>1.0109696742792962</v>
      </c>
      <c r="AL7">
        <f t="shared" si="5"/>
        <v>9.9267429418059105E-2</v>
      </c>
      <c r="AM7">
        <f t="shared" si="6"/>
        <v>0.91518147521790039</v>
      </c>
      <c r="AN7">
        <f t="shared" si="7"/>
        <v>-4.4287460942806681E-2</v>
      </c>
      <c r="AO7">
        <f t="shared" si="8"/>
        <v>-8.1709785564342718E-2</v>
      </c>
      <c r="AP7">
        <f t="shared" si="9"/>
        <v>0.10466567121438361</v>
      </c>
      <c r="AQ7">
        <f t="shared" si="10"/>
        <v>0.86338450018719581</v>
      </c>
      <c r="AR7">
        <f t="shared" si="11"/>
        <v>0.7901535005615874</v>
      </c>
    </row>
    <row r="8" spans="1:44" x14ac:dyDescent="0.25">
      <c r="A8">
        <v>6</v>
      </c>
      <c r="B8">
        <v>-32.000555560000002</v>
      </c>
      <c r="C8">
        <v>28.581666670000001</v>
      </c>
      <c r="D8" s="1">
        <v>41885</v>
      </c>
      <c r="H8">
        <v>310</v>
      </c>
      <c r="I8">
        <v>11462</v>
      </c>
      <c r="J8">
        <v>9584</v>
      </c>
      <c r="K8">
        <v>509</v>
      </c>
      <c r="L8">
        <v>9876</v>
      </c>
      <c r="O8">
        <v>8838.5</v>
      </c>
      <c r="P8">
        <v>970</v>
      </c>
      <c r="Q8">
        <v>8708.5</v>
      </c>
      <c r="R8">
        <v>127</v>
      </c>
      <c r="S8">
        <v>11336.5</v>
      </c>
      <c r="T8">
        <v>9534</v>
      </c>
      <c r="V8">
        <v>9552.5</v>
      </c>
      <c r="W8">
        <v>9160</v>
      </c>
      <c r="Y8">
        <v>21952</v>
      </c>
      <c r="AB8">
        <v>-9.1827014669460805E-2</v>
      </c>
      <c r="AC8">
        <v>-0.13773724192127201</v>
      </c>
      <c r="AD8">
        <v>4.72559646172055E-2</v>
      </c>
      <c r="AE8">
        <v>9.6927147460239998E-4</v>
      </c>
      <c r="AF8">
        <v>-278.515999999999</v>
      </c>
      <c r="AG8">
        <f t="shared" si="0"/>
        <v>-0.74996110160261398</v>
      </c>
      <c r="AH8">
        <f t="shared" si="1"/>
        <v>-0.10651852529224391</v>
      </c>
      <c r="AI8">
        <f t="shared" si="2"/>
        <v>-8.636592319302365E-2</v>
      </c>
      <c r="AJ8">
        <f t="shared" si="3"/>
        <v>-1803.5</v>
      </c>
      <c r="AK8">
        <f t="shared" si="4"/>
        <v>1.0019404237465912</v>
      </c>
      <c r="AL8">
        <f t="shared" si="5"/>
        <v>2.0006419171926821E-2</v>
      </c>
      <c r="AM8">
        <f t="shared" si="6"/>
        <v>0.98905077647879946</v>
      </c>
      <c r="AN8">
        <f t="shared" si="7"/>
        <v>-5.5047481193938198E-3</v>
      </c>
      <c r="AO8">
        <f t="shared" si="8"/>
        <v>-9.1300124550584005E-3</v>
      </c>
      <c r="AP8">
        <f t="shared" si="9"/>
        <v>2.0975283901135604E-2</v>
      </c>
      <c r="AQ8">
        <f t="shared" si="10"/>
        <v>1.2022236207258234</v>
      </c>
      <c r="AR8">
        <f t="shared" si="11"/>
        <v>1.1890602055800295</v>
      </c>
    </row>
    <row r="9" spans="1:44" x14ac:dyDescent="0.25">
      <c r="A9">
        <v>7</v>
      </c>
      <c r="B9">
        <v>-32.991638889999997</v>
      </c>
      <c r="C9">
        <v>27.64002778</v>
      </c>
      <c r="D9" s="1">
        <v>41914</v>
      </c>
      <c r="H9">
        <v>209</v>
      </c>
      <c r="I9">
        <v>9378</v>
      </c>
      <c r="J9">
        <v>8515.5</v>
      </c>
      <c r="K9">
        <v>858</v>
      </c>
      <c r="L9">
        <v>9823.5</v>
      </c>
      <c r="M9">
        <v>47</v>
      </c>
      <c r="O9">
        <v>9184</v>
      </c>
      <c r="P9">
        <v>1767</v>
      </c>
      <c r="Q9">
        <v>7700</v>
      </c>
      <c r="R9">
        <v>512.5</v>
      </c>
      <c r="S9">
        <v>9493.5</v>
      </c>
      <c r="T9">
        <v>14693.5</v>
      </c>
      <c r="V9">
        <v>13449</v>
      </c>
      <c r="W9">
        <v>11459</v>
      </c>
      <c r="Y9">
        <v>21824</v>
      </c>
      <c r="AB9">
        <v>0.22082130320088</v>
      </c>
      <c r="AC9">
        <v>0.33122507477567298</v>
      </c>
      <c r="AD9">
        <v>-8.2978538535059005E-3</v>
      </c>
      <c r="AE9">
        <v>-4.4221373367682303E-2</v>
      </c>
      <c r="AF9">
        <v>-3551.17894999999</v>
      </c>
      <c r="AG9">
        <f t="shared" si="0"/>
        <v>1.8726440021137924</v>
      </c>
      <c r="AH9">
        <f t="shared" si="1"/>
        <v>0.25615100911195987</v>
      </c>
      <c r="AI9">
        <f t="shared" si="2"/>
        <v>0.21499152437259686</v>
      </c>
      <c r="AJ9">
        <f t="shared" si="3"/>
        <v>5199</v>
      </c>
      <c r="AK9">
        <f t="shared" si="4"/>
        <v>0.91530268486065269</v>
      </c>
      <c r="AL9">
        <f t="shared" si="5"/>
        <v>0.12367842462479686</v>
      </c>
      <c r="AM9">
        <f t="shared" si="6"/>
        <v>1.0123160588611644</v>
      </c>
      <c r="AN9">
        <f t="shared" si="7"/>
        <v>6.1203401955329468E-3</v>
      </c>
      <c r="AO9">
        <f t="shared" si="8"/>
        <v>-7.2531096147405494E-2</v>
      </c>
      <c r="AP9">
        <f t="shared" si="9"/>
        <v>7.9894009956640435E-2</v>
      </c>
      <c r="AQ9">
        <f t="shared" si="10"/>
        <v>0.63824139925817536</v>
      </c>
      <c r="AR9">
        <f t="shared" si="11"/>
        <v>0.64610201789907107</v>
      </c>
    </row>
    <row r="10" spans="1:44" x14ac:dyDescent="0.25">
      <c r="A10">
        <v>8</v>
      </c>
      <c r="B10">
        <v>-32.000555560000002</v>
      </c>
      <c r="C10">
        <v>28.581666670000001</v>
      </c>
      <c r="D10" s="1">
        <v>41857</v>
      </c>
      <c r="H10">
        <v>297.5</v>
      </c>
      <c r="I10">
        <v>9707</v>
      </c>
      <c r="J10">
        <v>8868</v>
      </c>
      <c r="K10">
        <v>490</v>
      </c>
      <c r="L10">
        <v>9827.5</v>
      </c>
      <c r="O10">
        <v>7858.5</v>
      </c>
      <c r="P10">
        <v>934.5</v>
      </c>
      <c r="Q10">
        <v>8614.5</v>
      </c>
      <c r="R10">
        <v>157</v>
      </c>
      <c r="S10">
        <v>10063</v>
      </c>
      <c r="T10">
        <v>8884.5</v>
      </c>
      <c r="V10">
        <v>9534</v>
      </c>
      <c r="W10">
        <v>8720</v>
      </c>
      <c r="Y10">
        <v>21952</v>
      </c>
      <c r="AB10">
        <v>-4.4240647607777697E-2</v>
      </c>
      <c r="AC10">
        <v>-6.6359186746987903E-2</v>
      </c>
      <c r="AD10">
        <v>4.0236798356467998E-2</v>
      </c>
      <c r="AE10">
        <v>3.5263457936313997E-2</v>
      </c>
      <c r="AF10">
        <v>-1221.6538499999899</v>
      </c>
      <c r="AG10">
        <f t="shared" si="0"/>
        <v>-3.3299595141700404</v>
      </c>
      <c r="AH10">
        <f t="shared" si="1"/>
        <v>-5.131870957192633E-2</v>
      </c>
      <c r="AI10">
        <f t="shared" si="2"/>
        <v>-6.2198179179311253E-2</v>
      </c>
      <c r="AJ10">
        <f t="shared" si="3"/>
        <v>-1179.5</v>
      </c>
      <c r="AK10">
        <f t="shared" si="4"/>
        <v>1.0731048455174743</v>
      </c>
      <c r="AL10">
        <f t="shared" si="5"/>
        <v>9.3442017665937693E-3</v>
      </c>
      <c r="AM10">
        <f t="shared" si="6"/>
        <v>1.0366745647470896</v>
      </c>
      <c r="AN10">
        <f t="shared" si="7"/>
        <v>1.8007081436519981E-2</v>
      </c>
      <c r="AO10">
        <f t="shared" si="8"/>
        <v>0.10848196963553058</v>
      </c>
      <c r="AP10">
        <f t="shared" si="9"/>
        <v>4.4592965925276652E-2</v>
      </c>
      <c r="AQ10">
        <f t="shared" si="10"/>
        <v>1.0925769598739377</v>
      </c>
      <c r="AR10">
        <f t="shared" si="11"/>
        <v>1.132646744330013</v>
      </c>
    </row>
    <row r="11" spans="1:44" x14ac:dyDescent="0.25">
      <c r="A11">
        <v>9</v>
      </c>
      <c r="B11">
        <v>-33.185361110000002</v>
      </c>
      <c r="C11">
        <v>27.390750000000001</v>
      </c>
      <c r="D11" s="1">
        <v>40808</v>
      </c>
      <c r="H11">
        <v>-9999</v>
      </c>
      <c r="K11">
        <v>-9999</v>
      </c>
      <c r="L11">
        <v>-9999</v>
      </c>
      <c r="M11">
        <v>-9999</v>
      </c>
      <c r="O11">
        <v>-9999</v>
      </c>
      <c r="P11">
        <v>-9999</v>
      </c>
      <c r="Q11">
        <v>-9999</v>
      </c>
      <c r="R11">
        <v>-9999</v>
      </c>
      <c r="Y11">
        <v>1</v>
      </c>
      <c r="AA11">
        <v>-9999</v>
      </c>
    </row>
    <row r="12" spans="1:44" x14ac:dyDescent="0.25">
      <c r="A12">
        <v>10</v>
      </c>
      <c r="B12">
        <v>-33.731110999999999</v>
      </c>
      <c r="C12">
        <v>24.618333</v>
      </c>
      <c r="D12" s="1">
        <v>41361</v>
      </c>
      <c r="H12">
        <v>226</v>
      </c>
      <c r="I12">
        <v>8546</v>
      </c>
      <c r="J12">
        <v>8130</v>
      </c>
      <c r="K12">
        <v>954.5</v>
      </c>
      <c r="L12">
        <v>9708</v>
      </c>
      <c r="M12">
        <v>61</v>
      </c>
      <c r="N12">
        <v>44320.5</v>
      </c>
      <c r="O12">
        <v>8781</v>
      </c>
      <c r="P12">
        <v>1968.5</v>
      </c>
      <c r="Q12">
        <v>7426</v>
      </c>
      <c r="R12">
        <v>515.5</v>
      </c>
      <c r="S12">
        <v>8598.5</v>
      </c>
      <c r="T12">
        <v>12638</v>
      </c>
      <c r="U12">
        <v>44320.5</v>
      </c>
      <c r="V12">
        <v>10324.5</v>
      </c>
      <c r="W12">
        <v>8955</v>
      </c>
      <c r="Y12">
        <v>5440</v>
      </c>
      <c r="AA12">
        <v>9</v>
      </c>
      <c r="AB12">
        <v>0.19316465256797499</v>
      </c>
      <c r="AC12">
        <v>0.28974014019684202</v>
      </c>
      <c r="AD12">
        <v>-4.7870126266130103E-2</v>
      </c>
      <c r="AE12">
        <v>-0.10075122482308101</v>
      </c>
      <c r="AF12">
        <v>-1394.18569999999</v>
      </c>
      <c r="AG12">
        <f t="shared" si="0"/>
        <v>3.4795918367346941</v>
      </c>
      <c r="AH12">
        <f t="shared" si="1"/>
        <v>0.22406930461250291</v>
      </c>
      <c r="AI12">
        <f t="shared" si="2"/>
        <v>0.19021496009229394</v>
      </c>
      <c r="AJ12">
        <f t="shared" si="3"/>
        <v>4038.5</v>
      </c>
      <c r="AK12">
        <f t="shared" si="4"/>
        <v>0.81694097167273305</v>
      </c>
      <c r="AL12">
        <f t="shared" si="5"/>
        <v>0.17056453480294539</v>
      </c>
      <c r="AM12">
        <f t="shared" si="6"/>
        <v>1.0061432249005382</v>
      </c>
      <c r="AN12">
        <f t="shared" si="7"/>
        <v>3.0622065385400568E-3</v>
      </c>
      <c r="AO12">
        <f t="shared" si="8"/>
        <v>-0.17695331221399135</v>
      </c>
      <c r="AP12">
        <f t="shared" si="9"/>
        <v>7.1033999844394305E-2</v>
      </c>
      <c r="AQ12">
        <f t="shared" si="10"/>
        <v>0.67621459091628422</v>
      </c>
      <c r="AR12">
        <f t="shared" si="11"/>
        <v>0.68036872922930847</v>
      </c>
    </row>
    <row r="13" spans="1:44" x14ac:dyDescent="0.25">
      <c r="A13">
        <v>11</v>
      </c>
      <c r="B13">
        <v>-33.731110999999999</v>
      </c>
      <c r="C13">
        <v>24.618333</v>
      </c>
      <c r="D13" s="1">
        <v>41382</v>
      </c>
      <c r="H13">
        <v>162</v>
      </c>
      <c r="I13">
        <v>8874.5</v>
      </c>
      <c r="J13">
        <v>8022</v>
      </c>
      <c r="K13">
        <v>580</v>
      </c>
      <c r="L13">
        <v>9712</v>
      </c>
      <c r="M13">
        <v>61</v>
      </c>
      <c r="O13">
        <v>9087</v>
      </c>
      <c r="P13">
        <v>1127.5</v>
      </c>
      <c r="Q13">
        <v>8600.5</v>
      </c>
      <c r="R13">
        <v>2049.5</v>
      </c>
      <c r="S13">
        <v>9018</v>
      </c>
      <c r="T13">
        <v>15237</v>
      </c>
      <c r="V13">
        <v>11554.5</v>
      </c>
      <c r="W13">
        <v>9703</v>
      </c>
      <c r="Y13">
        <v>21824</v>
      </c>
      <c r="AB13">
        <v>0.26387823237873997</v>
      </c>
      <c r="AC13">
        <v>0.39580914067684098</v>
      </c>
      <c r="AD13">
        <v>-6.4777513275956697E-2</v>
      </c>
      <c r="AE13">
        <v>-0.137450310732881</v>
      </c>
      <c r="AF13">
        <v>-1550.8154999999999</v>
      </c>
      <c r="AG13">
        <f t="shared" si="0"/>
        <v>1.9118088942307692</v>
      </c>
      <c r="AH13">
        <f t="shared" si="1"/>
        <v>0.30609671835120433</v>
      </c>
      <c r="AI13">
        <f t="shared" si="2"/>
        <v>0.25640074211502784</v>
      </c>
      <c r="AJ13">
        <f t="shared" si="3"/>
        <v>6218</v>
      </c>
      <c r="AK13">
        <f t="shared" si="4"/>
        <v>0.75831856664697772</v>
      </c>
      <c r="AL13">
        <f t="shared" si="5"/>
        <v>0.22189254210104251</v>
      </c>
      <c r="AM13">
        <f t="shared" si="6"/>
        <v>1.0161699250662009</v>
      </c>
      <c r="AN13">
        <f t="shared" si="7"/>
        <v>8.0201201620790832E-3</v>
      </c>
      <c r="AO13">
        <f t="shared" si="8"/>
        <v>-0.2257688141469899</v>
      </c>
      <c r="AP13">
        <f t="shared" si="9"/>
        <v>8.7098671057273896E-2</v>
      </c>
      <c r="AQ13">
        <f t="shared" si="10"/>
        <v>0.5824309247227144</v>
      </c>
      <c r="AR13">
        <f t="shared" si="11"/>
        <v>0.59184878913171879</v>
      </c>
    </row>
    <row r="14" spans="1:44" x14ac:dyDescent="0.25">
      <c r="A14">
        <v>12</v>
      </c>
      <c r="B14">
        <v>-32.000555560000002</v>
      </c>
      <c r="C14">
        <v>28.581666670000001</v>
      </c>
      <c r="D14" s="1">
        <v>41234</v>
      </c>
      <c r="H14">
        <v>161</v>
      </c>
      <c r="I14">
        <v>12142</v>
      </c>
      <c r="J14">
        <v>9411</v>
      </c>
      <c r="K14">
        <v>1006</v>
      </c>
      <c r="L14">
        <v>9876</v>
      </c>
      <c r="N14">
        <v>44825.5</v>
      </c>
      <c r="O14">
        <v>9227</v>
      </c>
      <c r="P14">
        <v>2118</v>
      </c>
      <c r="Q14">
        <v>7419</v>
      </c>
      <c r="R14">
        <v>2800.5</v>
      </c>
      <c r="S14">
        <v>11073</v>
      </c>
      <c r="T14">
        <v>12623</v>
      </c>
      <c r="U14">
        <v>44825.5</v>
      </c>
      <c r="V14">
        <v>8886.5</v>
      </c>
      <c r="W14">
        <v>8472</v>
      </c>
      <c r="X14">
        <v>16.5</v>
      </c>
      <c r="Y14">
        <v>5440</v>
      </c>
      <c r="AA14">
        <v>64</v>
      </c>
      <c r="AB14">
        <v>1.94225721784776E-2</v>
      </c>
      <c r="AC14">
        <v>2.91332700732874E-2</v>
      </c>
      <c r="AD14">
        <v>-2.3349782293178498E-2</v>
      </c>
      <c r="AE14">
        <v>-0.17371394035193699</v>
      </c>
      <c r="AF14">
        <v>1706.6728499999999</v>
      </c>
      <c r="AG14">
        <f t="shared" si="0"/>
        <v>8.0739920099372212E-2</v>
      </c>
      <c r="AH14">
        <f t="shared" si="1"/>
        <v>2.2530038166521028E-2</v>
      </c>
      <c r="AI14">
        <f t="shared" si="2"/>
        <v>6.541188386225523E-2</v>
      </c>
      <c r="AJ14">
        <f t="shared" si="3"/>
        <v>1549</v>
      </c>
      <c r="AK14">
        <f t="shared" si="4"/>
        <v>0.70399271171670763</v>
      </c>
      <c r="AL14">
        <f t="shared" si="5"/>
        <v>0.19677648731926997</v>
      </c>
      <c r="AM14">
        <f t="shared" si="6"/>
        <v>0.9119584911876133</v>
      </c>
      <c r="AN14">
        <f t="shared" si="7"/>
        <v>-4.6047813913418049E-2</v>
      </c>
      <c r="AO14">
        <f t="shared" si="8"/>
        <v>-0.3925484243801044</v>
      </c>
      <c r="AP14">
        <f t="shared" si="9"/>
        <v>2.3878791370222082E-2</v>
      </c>
      <c r="AQ14">
        <f t="shared" si="10"/>
        <v>0.96189495365602473</v>
      </c>
      <c r="AR14">
        <f t="shared" si="11"/>
        <v>0.87720827061712747</v>
      </c>
    </row>
    <row r="15" spans="1:44" x14ac:dyDescent="0.25">
      <c r="A15">
        <v>13</v>
      </c>
      <c r="B15">
        <v>-32.000555560000002</v>
      </c>
      <c r="C15">
        <v>28.581666670000001</v>
      </c>
      <c r="D15" s="1">
        <v>41829</v>
      </c>
      <c r="H15">
        <v>557</v>
      </c>
      <c r="I15">
        <v>9744.5</v>
      </c>
      <c r="J15">
        <v>8999.5</v>
      </c>
      <c r="K15">
        <v>560</v>
      </c>
      <c r="L15">
        <v>9876.5</v>
      </c>
      <c r="O15">
        <v>8243.5</v>
      </c>
      <c r="P15">
        <v>1078.5</v>
      </c>
      <c r="Q15">
        <v>8529</v>
      </c>
      <c r="R15">
        <v>7</v>
      </c>
      <c r="S15">
        <v>10082</v>
      </c>
      <c r="T15">
        <v>9338.5</v>
      </c>
      <c r="V15">
        <v>9386</v>
      </c>
      <c r="W15">
        <v>8825.5</v>
      </c>
      <c r="Y15">
        <v>21952</v>
      </c>
      <c r="AB15">
        <v>-2.12754807944243E-2</v>
      </c>
      <c r="AC15">
        <v>-3.1912385044672101E-2</v>
      </c>
      <c r="AD15">
        <v>2.1151100257549599E-2</v>
      </c>
      <c r="AE15">
        <v>2.5367833587011E-3</v>
      </c>
      <c r="AF15">
        <v>-973.81230000000005</v>
      </c>
      <c r="AG15">
        <f t="shared" si="0"/>
        <v>-3.2715551974214345</v>
      </c>
      <c r="AH15">
        <f t="shared" si="1"/>
        <v>-2.4679350799343504E-2</v>
      </c>
      <c r="AI15">
        <f t="shared" si="2"/>
        <v>-3.828428722226513E-2</v>
      </c>
      <c r="AJ15">
        <f t="shared" si="3"/>
        <v>-744.5</v>
      </c>
      <c r="AK15">
        <f t="shared" si="4"/>
        <v>1.005086469989827</v>
      </c>
      <c r="AL15">
        <f t="shared" si="5"/>
        <v>2.8242677824267783E-2</v>
      </c>
      <c r="AM15">
        <f t="shared" si="6"/>
        <v>1.0346349222638411</v>
      </c>
      <c r="AN15">
        <f t="shared" si="7"/>
        <v>1.7022671676796206E-2</v>
      </c>
      <c r="AO15">
        <f t="shared" si="8"/>
        <v>3.8561970882507013E-2</v>
      </c>
      <c r="AP15">
        <f t="shared" si="9"/>
        <v>3.0777256129368807E-2</v>
      </c>
      <c r="AQ15">
        <f t="shared" si="10"/>
        <v>1.0434759329656798</v>
      </c>
      <c r="AR15">
        <f t="shared" si="11"/>
        <v>1.0796166407881351</v>
      </c>
    </row>
    <row r="16" spans="1:44" x14ac:dyDescent="0.25">
      <c r="A16">
        <v>14</v>
      </c>
      <c r="B16">
        <v>-32.000555560000002</v>
      </c>
      <c r="C16">
        <v>28.581666670000001</v>
      </c>
      <c r="D16" s="1">
        <v>41794</v>
      </c>
      <c r="H16">
        <v>263.5</v>
      </c>
      <c r="I16">
        <v>10354</v>
      </c>
      <c r="J16">
        <v>9154</v>
      </c>
      <c r="K16">
        <v>537</v>
      </c>
      <c r="L16">
        <v>9879.5</v>
      </c>
      <c r="O16">
        <v>8093.5</v>
      </c>
      <c r="P16">
        <v>1035.5</v>
      </c>
      <c r="Q16">
        <v>8523.5</v>
      </c>
      <c r="R16">
        <v>207</v>
      </c>
      <c r="S16">
        <v>10519</v>
      </c>
      <c r="T16">
        <v>8823.5</v>
      </c>
      <c r="V16">
        <v>8917.5</v>
      </c>
      <c r="W16">
        <v>8479</v>
      </c>
      <c r="Y16">
        <v>21952</v>
      </c>
      <c r="AB16">
        <v>-7.9807065571633404E-2</v>
      </c>
      <c r="AC16">
        <v>-0.11970747731775901</v>
      </c>
      <c r="AD16">
        <v>3.4739187629198101E-2</v>
      </c>
      <c r="AE16">
        <v>5.2984611915900997E-3</v>
      </c>
      <c r="AF16">
        <v>-348.20809999999898</v>
      </c>
      <c r="AG16">
        <f t="shared" si="0"/>
        <v>-1.6683017222585568</v>
      </c>
      <c r="AH16">
        <f t="shared" si="1"/>
        <v>-9.2575423696113074E-2</v>
      </c>
      <c r="AI16">
        <f t="shared" si="2"/>
        <v>-8.7656714488819953E-2</v>
      </c>
      <c r="AJ16">
        <f t="shared" si="3"/>
        <v>-1696.5</v>
      </c>
      <c r="AK16">
        <f t="shared" si="4"/>
        <v>1.0106533688445629</v>
      </c>
      <c r="AL16">
        <f t="shared" si="5"/>
        <v>1.9910417569715358E-2</v>
      </c>
      <c r="AM16">
        <f t="shared" si="6"/>
        <v>1.0159358701950938</v>
      </c>
      <c r="AN16">
        <f t="shared" si="7"/>
        <v>7.9049489771475107E-3</v>
      </c>
      <c r="AO16">
        <f t="shared" si="8"/>
        <v>2.633927054624563E-2</v>
      </c>
      <c r="AP16">
        <f t="shared" si="9"/>
        <v>2.5206219641881987E-2</v>
      </c>
      <c r="AQ16">
        <f t="shared" si="10"/>
        <v>1.1734572448574829</v>
      </c>
      <c r="AR16">
        <f t="shared" si="11"/>
        <v>1.1921573071910239</v>
      </c>
    </row>
    <row r="17" spans="1:44" x14ac:dyDescent="0.25">
      <c r="A17">
        <v>15</v>
      </c>
      <c r="B17">
        <v>-31.905000000000001</v>
      </c>
      <c r="C17">
        <v>25.43</v>
      </c>
      <c r="D17" s="1">
        <v>41946</v>
      </c>
      <c r="H17">
        <v>165</v>
      </c>
      <c r="I17">
        <v>10463.5</v>
      </c>
      <c r="J17">
        <v>9074.5</v>
      </c>
      <c r="K17">
        <v>659</v>
      </c>
      <c r="L17">
        <v>9645.5</v>
      </c>
      <c r="M17">
        <v>82</v>
      </c>
      <c r="N17">
        <v>46643.5</v>
      </c>
      <c r="O17">
        <v>9766.5</v>
      </c>
      <c r="P17">
        <v>1285</v>
      </c>
      <c r="Q17">
        <v>8312</v>
      </c>
      <c r="R17">
        <v>4106</v>
      </c>
      <c r="S17">
        <v>10135.5</v>
      </c>
      <c r="T17">
        <v>13570</v>
      </c>
      <c r="U17">
        <v>46643.5</v>
      </c>
      <c r="V17">
        <v>13023</v>
      </c>
      <c r="W17">
        <v>11702.5</v>
      </c>
      <c r="Y17">
        <v>5440</v>
      </c>
      <c r="AA17">
        <v>9</v>
      </c>
      <c r="AB17">
        <v>0.129257078661035</v>
      </c>
      <c r="AC17">
        <v>0.19388158442206799</v>
      </c>
      <c r="AD17">
        <v>1.8252368255619801E-2</v>
      </c>
      <c r="AE17">
        <v>-2.05693227541082E-2</v>
      </c>
      <c r="AF17">
        <v>-3174.2817</v>
      </c>
      <c r="AG17">
        <f t="shared" si="0"/>
        <v>0.93645434540138062</v>
      </c>
      <c r="AH17">
        <f t="shared" si="1"/>
        <v>0.14993721305868518</v>
      </c>
      <c r="AI17">
        <f t="shared" si="2"/>
        <v>0.14488198941173988</v>
      </c>
      <c r="AJ17">
        <f t="shared" si="3"/>
        <v>3433.5</v>
      </c>
      <c r="AK17">
        <f t="shared" si="4"/>
        <v>0.95969049373618276</v>
      </c>
      <c r="AL17">
        <f t="shared" si="5"/>
        <v>7.3894549411415572E-2</v>
      </c>
      <c r="AM17">
        <f t="shared" si="6"/>
        <v>0.9686529363979548</v>
      </c>
      <c r="AN17">
        <f t="shared" si="7"/>
        <v>-1.5923103063255499E-2</v>
      </c>
      <c r="AO17">
        <f t="shared" si="8"/>
        <v>-7.2671007916424335E-2</v>
      </c>
      <c r="AP17">
        <f t="shared" si="9"/>
        <v>5.3406402297223515E-2</v>
      </c>
      <c r="AQ17">
        <f t="shared" si="10"/>
        <v>0.77107590272660276</v>
      </c>
      <c r="AR17">
        <f t="shared" si="11"/>
        <v>0.74690493736182761</v>
      </c>
    </row>
    <row r="18" spans="1:44" x14ac:dyDescent="0.25">
      <c r="A18">
        <v>16</v>
      </c>
      <c r="B18">
        <v>-33.731110999999999</v>
      </c>
      <c r="C18">
        <v>24.618333</v>
      </c>
      <c r="D18" s="1">
        <v>41739</v>
      </c>
      <c r="H18">
        <v>269.5</v>
      </c>
      <c r="I18">
        <v>8521.5</v>
      </c>
      <c r="J18">
        <v>7971.5</v>
      </c>
      <c r="K18">
        <v>593</v>
      </c>
      <c r="L18">
        <v>9712</v>
      </c>
      <c r="M18">
        <v>61</v>
      </c>
      <c r="O18">
        <v>8994</v>
      </c>
      <c r="P18">
        <v>1150.5</v>
      </c>
      <c r="Q18">
        <v>8560.5</v>
      </c>
      <c r="R18">
        <v>196.5</v>
      </c>
      <c r="S18">
        <v>8819</v>
      </c>
      <c r="T18">
        <v>15323</v>
      </c>
      <c r="V18">
        <v>11006.5</v>
      </c>
      <c r="W18">
        <v>9177</v>
      </c>
      <c r="Y18">
        <v>21824</v>
      </c>
      <c r="AB18">
        <v>0.28524397659837603</v>
      </c>
      <c r="AC18">
        <v>0.42785699308031</v>
      </c>
      <c r="AD18">
        <v>-8.7956097845758599E-2</v>
      </c>
      <c r="AE18">
        <v>-0.16394158643346801</v>
      </c>
      <c r="AF18">
        <v>-1054.4834499999899</v>
      </c>
      <c r="AG18">
        <f t="shared" si="0"/>
        <v>2.5505306183672705</v>
      </c>
      <c r="AH18">
        <f t="shared" si="1"/>
        <v>0.33088079259674913</v>
      </c>
      <c r="AI18">
        <f t="shared" si="2"/>
        <v>0.26940601441471296</v>
      </c>
      <c r="AJ18">
        <f t="shared" si="3"/>
        <v>6503</v>
      </c>
      <c r="AK18">
        <f t="shared" si="4"/>
        <v>0.71829928865104742</v>
      </c>
      <c r="AL18">
        <f t="shared" si="5"/>
        <v>0.25085714285714283</v>
      </c>
      <c r="AM18">
        <f t="shared" si="6"/>
        <v>1.0349116939505956</v>
      </c>
      <c r="AN18">
        <f t="shared" si="7"/>
        <v>1.7156368040137249E-2</v>
      </c>
      <c r="AO18">
        <f t="shared" si="8"/>
        <v>-0.24796672790411756</v>
      </c>
      <c r="AP18">
        <f t="shared" si="9"/>
        <v>9.0643347288626844E-2</v>
      </c>
      <c r="AQ18">
        <f t="shared" si="10"/>
        <v>0.55612477974287022</v>
      </c>
      <c r="AR18">
        <f t="shared" si="11"/>
        <v>0.57554003785159569</v>
      </c>
    </row>
    <row r="19" spans="1:44" x14ac:dyDescent="0.25">
      <c r="A19">
        <v>17</v>
      </c>
      <c r="B19">
        <v>-32.086390000000002</v>
      </c>
      <c r="C19">
        <v>25.575559999999999</v>
      </c>
      <c r="D19" s="1">
        <v>41978</v>
      </c>
      <c r="H19">
        <v>155</v>
      </c>
      <c r="I19">
        <v>12013</v>
      </c>
      <c r="J19">
        <v>9639.5</v>
      </c>
      <c r="K19">
        <v>624</v>
      </c>
      <c r="L19">
        <v>9764.5</v>
      </c>
      <c r="M19">
        <v>49</v>
      </c>
      <c r="N19">
        <v>47387</v>
      </c>
      <c r="O19">
        <v>10194.5</v>
      </c>
      <c r="P19">
        <v>1196.5</v>
      </c>
      <c r="Q19">
        <v>8423</v>
      </c>
      <c r="R19">
        <v>8326.5</v>
      </c>
      <c r="S19">
        <v>11089.5</v>
      </c>
      <c r="T19">
        <v>15557.5</v>
      </c>
      <c r="U19">
        <v>47387</v>
      </c>
      <c r="V19">
        <v>14653</v>
      </c>
      <c r="W19">
        <v>11730.5</v>
      </c>
      <c r="X19">
        <v>8</v>
      </c>
      <c r="Y19">
        <v>5440</v>
      </c>
      <c r="AA19">
        <v>8</v>
      </c>
      <c r="AB19">
        <v>0.128561324604196</v>
      </c>
      <c r="AC19">
        <v>0.19283848971745601</v>
      </c>
      <c r="AD19">
        <v>2.83246244914486E-2</v>
      </c>
      <c r="AE19">
        <v>-2.9939921550454301E-2</v>
      </c>
      <c r="AF19">
        <v>-2887.6801</v>
      </c>
      <c r="AG19">
        <f t="shared" si="0"/>
        <v>0.57764703965059239</v>
      </c>
      <c r="AH19">
        <f t="shared" si="1"/>
        <v>0.14913027109253096</v>
      </c>
      <c r="AI19">
        <f t="shared" si="2"/>
        <v>0.16767365932375128</v>
      </c>
      <c r="AJ19">
        <f t="shared" si="3"/>
        <v>4467</v>
      </c>
      <c r="AK19">
        <f t="shared" si="4"/>
        <v>0.94186083882371852</v>
      </c>
      <c r="AL19">
        <f t="shared" si="5"/>
        <v>0.14024479624743477</v>
      </c>
      <c r="AM19">
        <f t="shared" si="6"/>
        <v>0.92312494797302924</v>
      </c>
      <c r="AN19">
        <f t="shared" si="7"/>
        <v>-3.9974028784763554E-2</v>
      </c>
      <c r="AO19">
        <f t="shared" si="8"/>
        <v>-0.14141613489015492</v>
      </c>
      <c r="AP19">
        <f t="shared" si="9"/>
        <v>0.1107699888187693</v>
      </c>
      <c r="AQ19">
        <f t="shared" si="10"/>
        <v>0.77216776474369275</v>
      </c>
      <c r="AR19">
        <f t="shared" si="11"/>
        <v>0.71280732765547161</v>
      </c>
    </row>
    <row r="20" spans="1:44" x14ac:dyDescent="0.25">
      <c r="A20">
        <v>18</v>
      </c>
      <c r="B20">
        <v>-32.043332999999997</v>
      </c>
      <c r="C20">
        <v>27.822778</v>
      </c>
      <c r="D20" s="1">
        <v>41855</v>
      </c>
      <c r="H20">
        <v>141</v>
      </c>
      <c r="I20">
        <v>10700.5</v>
      </c>
      <c r="J20">
        <v>8666.5</v>
      </c>
      <c r="K20">
        <v>672</v>
      </c>
      <c r="L20">
        <v>9704</v>
      </c>
      <c r="M20">
        <v>39</v>
      </c>
      <c r="O20">
        <v>8337</v>
      </c>
      <c r="P20">
        <v>1314</v>
      </c>
      <c r="Q20">
        <v>8169</v>
      </c>
      <c r="R20">
        <v>9084.5</v>
      </c>
      <c r="S20">
        <v>10013.5</v>
      </c>
      <c r="T20">
        <v>12556.5</v>
      </c>
      <c r="V20">
        <v>12704.5</v>
      </c>
      <c r="W20">
        <v>11123</v>
      </c>
      <c r="Y20">
        <v>21824</v>
      </c>
      <c r="AB20">
        <v>7.9803929999570006E-2</v>
      </c>
      <c r="AC20">
        <v>0.11970332150919</v>
      </c>
      <c r="AD20">
        <v>4.8893071614233202E-2</v>
      </c>
      <c r="AE20">
        <v>5.8588337753849003E-3</v>
      </c>
      <c r="AF20">
        <v>-3036.6229499999899</v>
      </c>
      <c r="AG20">
        <f t="shared" si="0"/>
        <v>0.39449911790337322</v>
      </c>
      <c r="AH20">
        <f t="shared" si="1"/>
        <v>9.2571921937158283E-2</v>
      </c>
      <c r="AI20">
        <f t="shared" si="2"/>
        <v>0.11267168808152414</v>
      </c>
      <c r="AJ20">
        <f t="shared" si="3"/>
        <v>2542</v>
      </c>
      <c r="AK20">
        <f t="shared" si="4"/>
        <v>1.0117867240074863</v>
      </c>
      <c r="AL20">
        <f t="shared" si="5"/>
        <v>6.0537595810722357E-2</v>
      </c>
      <c r="AM20">
        <f t="shared" si="6"/>
        <v>0.93579739264520345</v>
      </c>
      <c r="AN20">
        <f t="shared" si="7"/>
        <v>-3.316597470309935E-2</v>
      </c>
      <c r="AO20">
        <f t="shared" si="8"/>
        <v>-5.6820656029463956E-2</v>
      </c>
      <c r="AP20">
        <f t="shared" si="9"/>
        <v>6.6372888469205749E-2</v>
      </c>
      <c r="AQ20">
        <f t="shared" si="10"/>
        <v>0.85218810974395731</v>
      </c>
      <c r="AR20">
        <f t="shared" si="11"/>
        <v>0.79747541114163978</v>
      </c>
    </row>
    <row r="21" spans="1:44" x14ac:dyDescent="0.25">
      <c r="A21">
        <v>19</v>
      </c>
      <c r="B21">
        <v>-32.515278000000002</v>
      </c>
      <c r="C21">
        <v>28.015556</v>
      </c>
      <c r="D21" s="1">
        <v>42221</v>
      </c>
      <c r="H21">
        <v>151.5</v>
      </c>
      <c r="I21">
        <v>10412</v>
      </c>
      <c r="J21">
        <v>8755.5</v>
      </c>
      <c r="K21">
        <v>343</v>
      </c>
      <c r="L21">
        <v>9771</v>
      </c>
      <c r="M21">
        <v>60</v>
      </c>
      <c r="O21">
        <v>8481</v>
      </c>
      <c r="P21">
        <v>626</v>
      </c>
      <c r="Q21">
        <v>9175</v>
      </c>
      <c r="R21">
        <v>2329.5</v>
      </c>
      <c r="S21">
        <v>9749</v>
      </c>
      <c r="T21">
        <v>12252</v>
      </c>
      <c r="V21">
        <v>12547</v>
      </c>
      <c r="W21">
        <v>10619.5</v>
      </c>
      <c r="Y21">
        <v>21824</v>
      </c>
      <c r="AB21">
        <v>8.1186021884927601E-2</v>
      </c>
      <c r="AC21">
        <v>0.121776346268393</v>
      </c>
      <c r="AD21">
        <v>4.4386066664392203E-2</v>
      </c>
      <c r="AE21">
        <v>1.1895640953264199E-2</v>
      </c>
      <c r="AF21">
        <v>-2932.1801999999998</v>
      </c>
      <c r="AG21">
        <f t="shared" si="0"/>
        <v>0.50779632951566167</v>
      </c>
      <c r="AH21">
        <f t="shared" si="1"/>
        <v>9.4175120542742352E-2</v>
      </c>
      <c r="AI21">
        <f t="shared" si="2"/>
        <v>0.1137675560201809</v>
      </c>
      <c r="AJ21">
        <f t="shared" si="3"/>
        <v>2502</v>
      </c>
      <c r="AK21">
        <f t="shared" si="4"/>
        <v>1.0240777015997389</v>
      </c>
      <c r="AL21">
        <f t="shared" si="5"/>
        <v>7.1377041295935986E-2</v>
      </c>
      <c r="AM21">
        <f t="shared" si="6"/>
        <v>0.93632347291586626</v>
      </c>
      <c r="AN21">
        <f t="shared" si="7"/>
        <v>-3.288527354793909E-2</v>
      </c>
      <c r="AO21">
        <f t="shared" si="8"/>
        <v>-4.3929273474627717E-2</v>
      </c>
      <c r="AP21">
        <f t="shared" si="9"/>
        <v>8.3202037424729675E-2</v>
      </c>
      <c r="AQ21">
        <f t="shared" si="10"/>
        <v>0.84982043747959513</v>
      </c>
      <c r="AR21">
        <f t="shared" si="11"/>
        <v>0.79570682337577536</v>
      </c>
    </row>
    <row r="22" spans="1:44" x14ac:dyDescent="0.25">
      <c r="A22">
        <v>20</v>
      </c>
      <c r="B22">
        <v>-32.043332999999997</v>
      </c>
      <c r="C22">
        <v>27.822778</v>
      </c>
      <c r="D22" s="1">
        <v>41911</v>
      </c>
      <c r="H22">
        <v>206</v>
      </c>
      <c r="I22">
        <v>10296</v>
      </c>
      <c r="J22">
        <v>8748.5</v>
      </c>
      <c r="K22">
        <v>533</v>
      </c>
      <c r="L22">
        <v>9706</v>
      </c>
      <c r="M22">
        <v>39</v>
      </c>
      <c r="O22">
        <v>9508.5</v>
      </c>
      <c r="P22">
        <v>1019</v>
      </c>
      <c r="Q22">
        <v>8605</v>
      </c>
      <c r="R22">
        <v>880</v>
      </c>
      <c r="S22">
        <v>10057</v>
      </c>
      <c r="T22">
        <v>13494</v>
      </c>
      <c r="V22">
        <v>14390</v>
      </c>
      <c r="W22">
        <v>11911.5</v>
      </c>
      <c r="Y22">
        <v>21824</v>
      </c>
      <c r="AB22">
        <v>0.13442622950819599</v>
      </c>
      <c r="AC22">
        <v>0.201635106450053</v>
      </c>
      <c r="AD22">
        <v>5.2068572402697702E-2</v>
      </c>
      <c r="AE22">
        <v>3.2133122937885499E-2</v>
      </c>
      <c r="AF22">
        <v>-4388.0887999999904</v>
      </c>
      <c r="AG22">
        <f t="shared" si="0"/>
        <v>0.82787543037614231</v>
      </c>
      <c r="AH22">
        <f t="shared" si="1"/>
        <v>0.15593337749725095</v>
      </c>
      <c r="AI22">
        <f t="shared" si="2"/>
        <v>0.14593860133327671</v>
      </c>
      <c r="AJ22">
        <f t="shared" si="3"/>
        <v>3436</v>
      </c>
      <c r="AK22">
        <f t="shared" si="4"/>
        <v>1.0663998814287832</v>
      </c>
      <c r="AL22">
        <f t="shared" si="5"/>
        <v>6.2289661687429887E-2</v>
      </c>
      <c r="AM22">
        <f t="shared" si="6"/>
        <v>0.97678710178710182</v>
      </c>
      <c r="AN22">
        <f t="shared" si="7"/>
        <v>-1.174274062791726E-2</v>
      </c>
      <c r="AO22">
        <f t="shared" si="8"/>
        <v>4.2635339318809917E-2</v>
      </c>
      <c r="AP22">
        <f t="shared" si="9"/>
        <v>9.4234169153850536E-2</v>
      </c>
      <c r="AQ22">
        <f t="shared" si="10"/>
        <v>0.76300578034682076</v>
      </c>
      <c r="AR22">
        <f t="shared" si="11"/>
        <v>0.74529420483177711</v>
      </c>
    </row>
    <row r="23" spans="1:44" x14ac:dyDescent="0.25">
      <c r="A23">
        <v>21</v>
      </c>
      <c r="B23">
        <v>-32.991638889999997</v>
      </c>
      <c r="C23">
        <v>27.64002778</v>
      </c>
      <c r="D23" s="1">
        <v>40610</v>
      </c>
      <c r="H23">
        <v>263.5</v>
      </c>
      <c r="I23">
        <v>9649.5</v>
      </c>
      <c r="J23">
        <v>8689.5</v>
      </c>
      <c r="K23">
        <v>1385.5</v>
      </c>
      <c r="L23">
        <v>9836.5</v>
      </c>
      <c r="M23">
        <v>47</v>
      </c>
      <c r="N23">
        <v>46108</v>
      </c>
      <c r="O23">
        <v>9245.5</v>
      </c>
      <c r="P23">
        <v>3058</v>
      </c>
      <c r="Q23">
        <v>6093</v>
      </c>
      <c r="R23">
        <v>484</v>
      </c>
      <c r="S23">
        <v>9602</v>
      </c>
      <c r="T23">
        <v>16227</v>
      </c>
      <c r="U23">
        <v>46108</v>
      </c>
      <c r="V23">
        <v>12598.5</v>
      </c>
      <c r="W23">
        <v>9917.5</v>
      </c>
      <c r="Y23">
        <v>5440</v>
      </c>
      <c r="AA23">
        <v>115</v>
      </c>
      <c r="AB23">
        <v>0.25418816300504299</v>
      </c>
      <c r="AC23">
        <v>0.38127487730416898</v>
      </c>
      <c r="AD23">
        <v>-5.6578570747066098E-2</v>
      </c>
      <c r="AE23">
        <v>-0.12587812874017701</v>
      </c>
      <c r="AF23">
        <v>-1583.8128999999899</v>
      </c>
      <c r="AG23">
        <f t="shared" si="0"/>
        <v>1.8365210107496859</v>
      </c>
      <c r="AH23">
        <f t="shared" si="1"/>
        <v>0.29485644592462862</v>
      </c>
      <c r="AI23">
        <f t="shared" si="2"/>
        <v>0.25649463781021331</v>
      </c>
      <c r="AJ23">
        <f t="shared" si="3"/>
        <v>6624</v>
      </c>
      <c r="AK23">
        <f t="shared" si="4"/>
        <v>0.77639119985209837</v>
      </c>
      <c r="AL23">
        <f t="shared" si="5"/>
        <v>0.24133182887414178</v>
      </c>
      <c r="AM23">
        <f t="shared" si="6"/>
        <v>0.99507746515363493</v>
      </c>
      <c r="AN23">
        <f t="shared" si="7"/>
        <v>-2.4673402072565775E-3</v>
      </c>
      <c r="AO23">
        <f t="shared" si="8"/>
        <v>-0.22855568621330458</v>
      </c>
      <c r="AP23">
        <f t="shared" si="9"/>
        <v>0.11907088292769587</v>
      </c>
      <c r="AQ23">
        <f t="shared" si="10"/>
        <v>0.59465705305971528</v>
      </c>
      <c r="AR23">
        <f t="shared" si="11"/>
        <v>0.59172983299439208</v>
      </c>
    </row>
    <row r="24" spans="1:44" x14ac:dyDescent="0.25">
      <c r="A24">
        <v>22</v>
      </c>
      <c r="B24">
        <v>-32.086390000000002</v>
      </c>
      <c r="C24">
        <v>25.575559999999999</v>
      </c>
      <c r="D24" s="1">
        <v>41390</v>
      </c>
      <c r="H24">
        <v>207</v>
      </c>
      <c r="I24">
        <v>10970</v>
      </c>
      <c r="J24">
        <v>9119.5</v>
      </c>
      <c r="K24">
        <v>441.5</v>
      </c>
      <c r="L24">
        <v>9755.5</v>
      </c>
      <c r="M24">
        <v>49</v>
      </c>
      <c r="O24">
        <v>8519.5</v>
      </c>
      <c r="P24">
        <v>826</v>
      </c>
      <c r="Q24">
        <v>8893.5</v>
      </c>
      <c r="R24">
        <v>926</v>
      </c>
      <c r="S24">
        <v>10467.5</v>
      </c>
      <c r="T24">
        <v>14994.5</v>
      </c>
      <c r="V24">
        <v>13048.5</v>
      </c>
      <c r="W24">
        <v>10355</v>
      </c>
      <c r="Y24">
        <v>21824</v>
      </c>
      <c r="AB24">
        <v>0.155000096285312</v>
      </c>
      <c r="AC24">
        <v>0.23249566724436699</v>
      </c>
      <c r="AD24">
        <v>-1.9841063730327E-3</v>
      </c>
      <c r="AE24">
        <v>-6.9393431515886297E-2</v>
      </c>
      <c r="AF24">
        <v>-1854.1905999999999</v>
      </c>
      <c r="AG24">
        <f t="shared" si="0"/>
        <v>0.81013346216558968</v>
      </c>
      <c r="AH24">
        <f t="shared" si="1"/>
        <v>0.1797990037227524</v>
      </c>
      <c r="AI24">
        <f t="shared" si="2"/>
        <v>0.17779436022307754</v>
      </c>
      <c r="AJ24">
        <f t="shared" si="3"/>
        <v>4526</v>
      </c>
      <c r="AK24">
        <f t="shared" si="4"/>
        <v>0.87021908032945416</v>
      </c>
      <c r="AL24">
        <f t="shared" si="5"/>
        <v>0.18302136136807431</v>
      </c>
      <c r="AM24">
        <f t="shared" si="6"/>
        <v>0.95419325432999091</v>
      </c>
      <c r="AN24">
        <f t="shared" si="7"/>
        <v>-2.3440233236151603E-2</v>
      </c>
      <c r="AO24">
        <f t="shared" si="8"/>
        <v>-0.17778665169825059</v>
      </c>
      <c r="AP24">
        <f t="shared" si="9"/>
        <v>0.11508962334693529</v>
      </c>
      <c r="AQ24">
        <f t="shared" si="10"/>
        <v>0.73160158724865787</v>
      </c>
      <c r="AR24">
        <f t="shared" si="11"/>
        <v>0.69808929940978359</v>
      </c>
    </row>
    <row r="25" spans="1:44" x14ac:dyDescent="0.25">
      <c r="A25">
        <v>23</v>
      </c>
      <c r="B25">
        <v>-32.043332999999997</v>
      </c>
      <c r="C25">
        <v>27.822778</v>
      </c>
      <c r="D25" s="1">
        <v>40728</v>
      </c>
      <c r="H25">
        <v>554.5</v>
      </c>
      <c r="I25">
        <v>12735.5</v>
      </c>
      <c r="J25">
        <v>11099</v>
      </c>
      <c r="K25">
        <v>474</v>
      </c>
      <c r="L25">
        <v>9701</v>
      </c>
      <c r="M25">
        <v>39</v>
      </c>
      <c r="N25">
        <v>39784</v>
      </c>
      <c r="O25">
        <v>7144</v>
      </c>
      <c r="P25">
        <v>896</v>
      </c>
      <c r="Q25">
        <v>8602</v>
      </c>
      <c r="R25">
        <v>14</v>
      </c>
      <c r="S25">
        <v>11940</v>
      </c>
      <c r="T25">
        <v>15229.5</v>
      </c>
      <c r="U25">
        <v>39784</v>
      </c>
      <c r="V25">
        <v>15485</v>
      </c>
      <c r="W25">
        <v>13238</v>
      </c>
      <c r="Y25">
        <v>5696</v>
      </c>
      <c r="AA25">
        <v>9</v>
      </c>
      <c r="AB25">
        <v>8.9182907205435299E-2</v>
      </c>
      <c r="AC25">
        <v>0.13377196903327301</v>
      </c>
      <c r="AD25">
        <v>3.4684412179874897E-2</v>
      </c>
      <c r="AE25">
        <v>8.3185466147910007E-3</v>
      </c>
      <c r="AF25">
        <v>-3653.3024999999998</v>
      </c>
      <c r="AG25">
        <f t="shared" si="0"/>
        <v>0.7421735507677657</v>
      </c>
      <c r="AH25">
        <f t="shared" si="1"/>
        <v>0.10345158046655195</v>
      </c>
      <c r="AI25">
        <f t="shared" si="2"/>
        <v>0.12107326229779716</v>
      </c>
      <c r="AJ25">
        <f t="shared" si="3"/>
        <v>3288.5</v>
      </c>
      <c r="AK25">
        <f t="shared" si="4"/>
        <v>1.0167766505794675</v>
      </c>
      <c r="AL25">
        <f t="shared" si="5"/>
        <v>6.9956968472819889E-2</v>
      </c>
      <c r="AM25">
        <f t="shared" si="6"/>
        <v>0.93753680656432803</v>
      </c>
      <c r="AN25">
        <f t="shared" si="7"/>
        <v>-3.2238455147818687E-2</v>
      </c>
      <c r="AO25">
        <f t="shared" si="8"/>
        <v>-4.9848140040297917E-2</v>
      </c>
      <c r="AP25">
        <f t="shared" si="9"/>
        <v>7.82299899035616E-2</v>
      </c>
      <c r="AQ25">
        <f t="shared" si="10"/>
        <v>0.83623887849239964</v>
      </c>
      <c r="AR25">
        <f t="shared" si="11"/>
        <v>0.78400472766669949</v>
      </c>
    </row>
    <row r="26" spans="1:44" x14ac:dyDescent="0.25">
      <c r="A26">
        <v>24</v>
      </c>
      <c r="B26">
        <v>-32.991638889999997</v>
      </c>
      <c r="C26">
        <v>27.64002778</v>
      </c>
      <c r="D26" s="1">
        <v>41842</v>
      </c>
      <c r="H26">
        <v>212.5</v>
      </c>
      <c r="I26">
        <v>9698</v>
      </c>
      <c r="J26">
        <v>8454</v>
      </c>
      <c r="K26">
        <v>612.5</v>
      </c>
      <c r="L26">
        <v>9814.5</v>
      </c>
      <c r="M26">
        <v>47</v>
      </c>
      <c r="O26">
        <v>8016</v>
      </c>
      <c r="P26">
        <v>1199</v>
      </c>
      <c r="Q26">
        <v>8267</v>
      </c>
      <c r="R26">
        <v>806</v>
      </c>
      <c r="S26">
        <v>9298</v>
      </c>
      <c r="T26">
        <v>13584</v>
      </c>
      <c r="V26">
        <v>13567.5</v>
      </c>
      <c r="W26">
        <v>11264.5</v>
      </c>
      <c r="Y26">
        <v>21824</v>
      </c>
      <c r="AB26">
        <v>0.166910059273258</v>
      </c>
      <c r="AC26">
        <v>0.25035971223021503</v>
      </c>
      <c r="AD26">
        <v>2.70950368073106E-2</v>
      </c>
      <c r="AE26">
        <v>-6.0770123197609999E-4</v>
      </c>
      <c r="AF26">
        <v>-3867.6583000000001</v>
      </c>
      <c r="AG26">
        <f t="shared" si="0"/>
        <v>1.1609703632887189</v>
      </c>
      <c r="AH26">
        <f t="shared" si="1"/>
        <v>0.19361433818855292</v>
      </c>
      <c r="AI26">
        <f t="shared" si="2"/>
        <v>0.18730880167817499</v>
      </c>
      <c r="AJ26">
        <f t="shared" si="3"/>
        <v>4285</v>
      </c>
      <c r="AK26">
        <f t="shared" si="4"/>
        <v>0.99878533568904593</v>
      </c>
      <c r="AL26">
        <f t="shared" si="5"/>
        <v>9.3345674789222691E-2</v>
      </c>
      <c r="AM26">
        <f t="shared" si="6"/>
        <v>0.9587543823468756</v>
      </c>
      <c r="AN26">
        <f t="shared" si="7"/>
        <v>-2.1057064645188462E-2</v>
      </c>
      <c r="AO26">
        <f t="shared" si="8"/>
        <v>-4.4234668612954442E-2</v>
      </c>
      <c r="AP26">
        <f t="shared" si="9"/>
        <v>9.2743234536082478E-2</v>
      </c>
      <c r="AQ26">
        <f t="shared" si="10"/>
        <v>0.71392815076560656</v>
      </c>
      <c r="AR26">
        <f t="shared" si="11"/>
        <v>0.68448174322732624</v>
      </c>
    </row>
    <row r="27" spans="1:44" x14ac:dyDescent="0.25">
      <c r="A27">
        <v>25</v>
      </c>
      <c r="B27">
        <v>-32.991638889999997</v>
      </c>
      <c r="C27">
        <v>27.64002778</v>
      </c>
      <c r="D27" s="1">
        <v>41830</v>
      </c>
      <c r="H27">
        <v>325</v>
      </c>
      <c r="I27">
        <v>9535.5</v>
      </c>
      <c r="J27">
        <v>8401</v>
      </c>
      <c r="K27">
        <v>624</v>
      </c>
      <c r="L27">
        <v>9818</v>
      </c>
      <c r="M27">
        <v>47</v>
      </c>
      <c r="O27">
        <v>8608.5</v>
      </c>
      <c r="P27">
        <v>1217</v>
      </c>
      <c r="Q27">
        <v>8392</v>
      </c>
      <c r="R27">
        <v>107</v>
      </c>
      <c r="S27">
        <v>9421</v>
      </c>
      <c r="T27">
        <v>14629</v>
      </c>
      <c r="V27">
        <v>13900.5</v>
      </c>
      <c r="W27">
        <v>11040.5</v>
      </c>
      <c r="Y27">
        <v>21824</v>
      </c>
      <c r="AB27">
        <v>0.210784415154462</v>
      </c>
      <c r="AC27">
        <v>0.31617008069522001</v>
      </c>
      <c r="AD27">
        <v>8.7375715576981008E-3</v>
      </c>
      <c r="AE27">
        <v>-2.5534972572249699E-2</v>
      </c>
      <c r="AF27">
        <v>-3683.5904499999901</v>
      </c>
      <c r="AG27">
        <f t="shared" si="0"/>
        <v>1.4412031011261388</v>
      </c>
      <c r="AH27">
        <f t="shared" si="1"/>
        <v>0.24450830262043827</v>
      </c>
      <c r="AI27">
        <f t="shared" si="2"/>
        <v>0.21654885654885656</v>
      </c>
      <c r="AJ27">
        <f t="shared" si="3"/>
        <v>5207</v>
      </c>
      <c r="AK27">
        <f t="shared" si="4"/>
        <v>0.95020165424841074</v>
      </c>
      <c r="AL27">
        <f t="shared" si="5"/>
        <v>0.13979625625742612</v>
      </c>
      <c r="AM27">
        <f t="shared" si="6"/>
        <v>0.98799223952598181</v>
      </c>
      <c r="AN27">
        <f t="shared" si="7"/>
        <v>-6.0401445414501624E-3</v>
      </c>
      <c r="AO27">
        <f t="shared" si="8"/>
        <v>-6.1952044934266204E-2</v>
      </c>
      <c r="AP27">
        <f t="shared" si="9"/>
        <v>0.11467062266950002</v>
      </c>
      <c r="AQ27">
        <f t="shared" si="10"/>
        <v>0.65182172397293048</v>
      </c>
      <c r="AR27">
        <f t="shared" si="11"/>
        <v>0.64399480483970195</v>
      </c>
    </row>
    <row r="28" spans="1:44" x14ac:dyDescent="0.25">
      <c r="A28">
        <v>26</v>
      </c>
      <c r="B28">
        <v>-32.043332999999997</v>
      </c>
      <c r="C28">
        <v>27.822778</v>
      </c>
      <c r="D28" s="1">
        <v>41771</v>
      </c>
      <c r="H28">
        <v>360</v>
      </c>
      <c r="I28">
        <v>9792</v>
      </c>
      <c r="J28">
        <v>8433</v>
      </c>
      <c r="K28">
        <v>556</v>
      </c>
      <c r="L28">
        <v>9706</v>
      </c>
      <c r="M28">
        <v>39</v>
      </c>
      <c r="O28">
        <v>8270</v>
      </c>
      <c r="P28">
        <v>1087</v>
      </c>
      <c r="Q28">
        <v>8438</v>
      </c>
      <c r="R28">
        <v>56.5</v>
      </c>
      <c r="S28">
        <v>9458.5</v>
      </c>
      <c r="T28">
        <v>13527</v>
      </c>
      <c r="V28">
        <v>11937</v>
      </c>
      <c r="W28">
        <v>9975</v>
      </c>
      <c r="Y28">
        <v>21824</v>
      </c>
      <c r="AB28">
        <v>0.16016981860285601</v>
      </c>
      <c r="AC28">
        <v>0.240249576534659</v>
      </c>
      <c r="AD28">
        <v>-5.2873721073954001E-3</v>
      </c>
      <c r="AE28">
        <v>-6.2441093308199802E-2</v>
      </c>
      <c r="AF28">
        <v>-2079.41455</v>
      </c>
      <c r="AG28">
        <f t="shared" si="0"/>
        <v>1.0337669526709106</v>
      </c>
      <c r="AH28">
        <f t="shared" si="1"/>
        <v>0.18579571476845647</v>
      </c>
      <c r="AI28">
        <f t="shared" si="2"/>
        <v>0.17700289312827652</v>
      </c>
      <c r="AJ28">
        <f t="shared" si="3"/>
        <v>4067.5</v>
      </c>
      <c r="AK28">
        <f t="shared" si="4"/>
        <v>0.88245730760700825</v>
      </c>
      <c r="AL28">
        <f t="shared" si="5"/>
        <v>0.15113607352565739</v>
      </c>
      <c r="AM28">
        <f t="shared" si="6"/>
        <v>0.9659415849673203</v>
      </c>
      <c r="AN28">
        <f t="shared" si="7"/>
        <v>-1.7324225344796239E-2</v>
      </c>
      <c r="AO28">
        <f t="shared" si="8"/>
        <v>-0.1528019829781796</v>
      </c>
      <c r="AP28">
        <f t="shared" si="9"/>
        <v>8.9539978094194964E-2</v>
      </c>
      <c r="AQ28">
        <f t="shared" si="10"/>
        <v>0.72388556220891553</v>
      </c>
      <c r="AR28">
        <f t="shared" si="11"/>
        <v>0.69923116729503954</v>
      </c>
    </row>
    <row r="29" spans="1:44" x14ac:dyDescent="0.25">
      <c r="A29">
        <v>27</v>
      </c>
      <c r="B29">
        <v>-33.185361110000002</v>
      </c>
      <c r="C29">
        <v>27.390750000000001</v>
      </c>
      <c r="D29" s="1">
        <v>42187</v>
      </c>
      <c r="H29">
        <v>295</v>
      </c>
      <c r="I29">
        <v>8526</v>
      </c>
      <c r="J29">
        <v>8039</v>
      </c>
      <c r="K29">
        <v>395</v>
      </c>
      <c r="L29">
        <v>9726.5</v>
      </c>
      <c r="M29">
        <v>80</v>
      </c>
      <c r="O29">
        <v>7910.5</v>
      </c>
      <c r="P29">
        <v>741</v>
      </c>
      <c r="Q29">
        <v>8995</v>
      </c>
      <c r="R29">
        <v>168</v>
      </c>
      <c r="S29">
        <v>9081.5</v>
      </c>
      <c r="T29">
        <v>16567.5</v>
      </c>
      <c r="V29">
        <v>11512.5</v>
      </c>
      <c r="W29">
        <v>9157.5</v>
      </c>
      <c r="Y29">
        <v>21824</v>
      </c>
      <c r="AB29">
        <v>0.320461474086914</v>
      </c>
      <c r="AC29">
        <v>0.48068263329879601</v>
      </c>
      <c r="AD29">
        <v>-0.10231828872214099</v>
      </c>
      <c r="AE29">
        <v>-0.18002136752136699</v>
      </c>
      <c r="AF29">
        <v>-918.24460000000204</v>
      </c>
      <c r="AG29">
        <f t="shared" si="0"/>
        <v>2.7050255651237891</v>
      </c>
      <c r="AH29">
        <f t="shared" si="1"/>
        <v>0.37173293971465299</v>
      </c>
      <c r="AI29">
        <f t="shared" si="2"/>
        <v>0.2918632305353035</v>
      </c>
      <c r="AJ29">
        <f t="shared" si="3"/>
        <v>7485</v>
      </c>
      <c r="AK29">
        <f t="shared" si="4"/>
        <v>0.69488456315074698</v>
      </c>
      <c r="AL29">
        <f t="shared" si="5"/>
        <v>0.2880466472303207</v>
      </c>
      <c r="AM29">
        <f t="shared" si="6"/>
        <v>1.0651536476659629</v>
      </c>
      <c r="AN29">
        <f t="shared" si="7"/>
        <v>3.1549055800085192E-2</v>
      </c>
      <c r="AO29">
        <f t="shared" si="8"/>
        <v>-0.24394712764923099</v>
      </c>
      <c r="AP29">
        <f t="shared" si="9"/>
        <v>0.11393323657474601</v>
      </c>
      <c r="AQ29">
        <f t="shared" si="10"/>
        <v>0.51462200090538701</v>
      </c>
      <c r="AR29">
        <f t="shared" si="11"/>
        <v>0.54815150143352953</v>
      </c>
    </row>
    <row r="30" spans="1:44" x14ac:dyDescent="0.25">
      <c r="A30">
        <v>28</v>
      </c>
      <c r="B30">
        <v>-33.731110999999999</v>
      </c>
      <c r="C30">
        <v>24.618333</v>
      </c>
      <c r="D30" s="1">
        <v>41718</v>
      </c>
      <c r="H30">
        <v>217</v>
      </c>
      <c r="I30">
        <v>8260</v>
      </c>
      <c r="J30">
        <v>7742.5</v>
      </c>
      <c r="K30">
        <v>938</v>
      </c>
      <c r="L30">
        <v>9712</v>
      </c>
      <c r="M30">
        <v>61</v>
      </c>
      <c r="O30">
        <v>8779.5</v>
      </c>
      <c r="P30">
        <v>1921.5</v>
      </c>
      <c r="Q30">
        <v>7511.5</v>
      </c>
      <c r="R30">
        <v>556.5</v>
      </c>
      <c r="S30">
        <v>8481.5</v>
      </c>
      <c r="T30">
        <v>13483</v>
      </c>
      <c r="V30">
        <v>10416</v>
      </c>
      <c r="W30">
        <v>8946</v>
      </c>
      <c r="Y30">
        <v>21824</v>
      </c>
      <c r="AB30">
        <v>0.240215241686979</v>
      </c>
      <c r="AC30">
        <v>0.36031457677006901</v>
      </c>
      <c r="AD30">
        <v>-6.3894841046075901E-2</v>
      </c>
      <c r="AE30">
        <v>-0.12833172936106099</v>
      </c>
      <c r="AF30">
        <v>-1342.8407999999999</v>
      </c>
      <c r="AG30">
        <f t="shared" si="0"/>
        <v>2.6244912315964024</v>
      </c>
      <c r="AH30">
        <f t="shared" si="1"/>
        <v>0.27864762987532626</v>
      </c>
      <c r="AI30">
        <f t="shared" si="2"/>
        <v>0.2277083475608368</v>
      </c>
      <c r="AJ30">
        <f t="shared" si="3"/>
        <v>5000.5</v>
      </c>
      <c r="AK30">
        <f t="shared" si="4"/>
        <v>0.77252836905733147</v>
      </c>
      <c r="AL30">
        <f t="shared" si="5"/>
        <v>0.20228275892817335</v>
      </c>
      <c r="AM30">
        <f t="shared" si="6"/>
        <v>1.02681598062954</v>
      </c>
      <c r="AN30">
        <f t="shared" si="7"/>
        <v>1.3230594630110802E-2</v>
      </c>
      <c r="AO30">
        <f t="shared" si="8"/>
        <v>-0.20135596743975037</v>
      </c>
      <c r="AP30">
        <f t="shared" si="9"/>
        <v>7.5921908893709325E-2</v>
      </c>
      <c r="AQ30">
        <f t="shared" si="10"/>
        <v>0.61262330341912041</v>
      </c>
      <c r="AR30">
        <f t="shared" si="11"/>
        <v>0.62905139805681232</v>
      </c>
    </row>
    <row r="31" spans="1:44" x14ac:dyDescent="0.25">
      <c r="A31">
        <v>29</v>
      </c>
      <c r="B31">
        <v>-33.185361110000002</v>
      </c>
      <c r="C31">
        <v>27.390750000000001</v>
      </c>
      <c r="D31" s="1">
        <v>41060</v>
      </c>
      <c r="H31">
        <v>-9999</v>
      </c>
      <c r="K31">
        <v>-9999</v>
      </c>
      <c r="L31">
        <v>-9999</v>
      </c>
      <c r="M31">
        <v>-9999</v>
      </c>
      <c r="O31">
        <v>-9999</v>
      </c>
      <c r="P31">
        <v>-9999</v>
      </c>
      <c r="Q31">
        <v>-9999</v>
      </c>
      <c r="R31">
        <v>-9999</v>
      </c>
      <c r="Y31">
        <v>1</v>
      </c>
      <c r="AA31">
        <v>-9999</v>
      </c>
    </row>
    <row r="32" spans="1:44" x14ac:dyDescent="0.25">
      <c r="A32">
        <v>30</v>
      </c>
      <c r="B32">
        <v>-33.329166999999998</v>
      </c>
      <c r="C32">
        <v>26.077500000000001</v>
      </c>
      <c r="D32" s="1">
        <v>42071</v>
      </c>
      <c r="H32">
        <v>236</v>
      </c>
      <c r="I32">
        <v>8981</v>
      </c>
      <c r="J32">
        <v>8200</v>
      </c>
      <c r="K32">
        <v>1389</v>
      </c>
      <c r="L32">
        <v>9824</v>
      </c>
      <c r="M32">
        <v>59</v>
      </c>
      <c r="N32">
        <v>45397.5</v>
      </c>
      <c r="O32">
        <v>9116</v>
      </c>
      <c r="P32">
        <v>3090</v>
      </c>
      <c r="Q32">
        <v>6139</v>
      </c>
      <c r="R32">
        <v>4161.5</v>
      </c>
      <c r="S32">
        <v>8939</v>
      </c>
      <c r="T32">
        <v>13201</v>
      </c>
      <c r="U32">
        <v>45397.5</v>
      </c>
      <c r="V32">
        <v>11515</v>
      </c>
      <c r="W32">
        <v>9620.5</v>
      </c>
      <c r="Y32">
        <v>5440</v>
      </c>
      <c r="AA32">
        <v>9</v>
      </c>
      <c r="AB32">
        <v>0.190244342259489</v>
      </c>
      <c r="AC32">
        <v>0.28536008114504602</v>
      </c>
      <c r="AD32">
        <v>-2.1600591927822901E-2</v>
      </c>
      <c r="AE32">
        <v>-6.8214921508334594E-2</v>
      </c>
      <c r="AF32">
        <v>-2132.4837499999999</v>
      </c>
      <c r="AG32">
        <f t="shared" si="0"/>
        <v>1.8879742304939156</v>
      </c>
      <c r="AH32">
        <f t="shared" si="1"/>
        <v>0.22068184523058168</v>
      </c>
      <c r="AI32">
        <f t="shared" si="2"/>
        <v>0.19250225835591689</v>
      </c>
      <c r="AJ32">
        <f t="shared" si="3"/>
        <v>4261</v>
      </c>
      <c r="AK32">
        <f t="shared" si="4"/>
        <v>0.87228240284826908</v>
      </c>
      <c r="AL32">
        <f t="shared" si="5"/>
        <v>0.15689152772604781</v>
      </c>
      <c r="AM32">
        <f t="shared" si="6"/>
        <v>0.99532346063912702</v>
      </c>
      <c r="AN32">
        <f t="shared" si="7"/>
        <v>-2.3437499999999999E-3</v>
      </c>
      <c r="AO32">
        <f t="shared" si="8"/>
        <v>-0.13241610928955405</v>
      </c>
      <c r="AP32">
        <f t="shared" si="9"/>
        <v>8.963592060750869E-2</v>
      </c>
      <c r="AQ32">
        <f t="shared" si="10"/>
        <v>0.68032724793576249</v>
      </c>
      <c r="AR32">
        <f t="shared" si="11"/>
        <v>0.67714567078251653</v>
      </c>
    </row>
    <row r="33" spans="1:44" x14ac:dyDescent="0.25">
      <c r="A33">
        <v>31</v>
      </c>
      <c r="B33">
        <v>-32.579166999999998</v>
      </c>
      <c r="C33">
        <v>27.366667</v>
      </c>
      <c r="D33" s="1">
        <v>41036</v>
      </c>
      <c r="H33">
        <v>-9999</v>
      </c>
      <c r="K33">
        <v>-9999</v>
      </c>
      <c r="L33">
        <v>-9999</v>
      </c>
      <c r="M33">
        <v>-9999</v>
      </c>
      <c r="O33">
        <v>-9999</v>
      </c>
      <c r="P33">
        <v>-9999</v>
      </c>
      <c r="Q33">
        <v>-9999</v>
      </c>
      <c r="R33">
        <v>-9999</v>
      </c>
      <c r="Y33">
        <v>1</v>
      </c>
      <c r="AA33">
        <v>-9999</v>
      </c>
    </row>
    <row r="34" spans="1:44" x14ac:dyDescent="0.25">
      <c r="A34">
        <v>32</v>
      </c>
      <c r="B34">
        <v>-32.991638889999997</v>
      </c>
      <c r="C34">
        <v>27.64002778</v>
      </c>
      <c r="D34" s="1">
        <v>42243</v>
      </c>
      <c r="H34">
        <v>213.5</v>
      </c>
      <c r="I34">
        <v>9831</v>
      </c>
      <c r="J34">
        <v>8473.5</v>
      </c>
      <c r="K34">
        <v>295</v>
      </c>
      <c r="L34">
        <v>9820.5</v>
      </c>
      <c r="M34">
        <v>47</v>
      </c>
      <c r="N34">
        <v>41936</v>
      </c>
      <c r="O34">
        <v>8185</v>
      </c>
      <c r="P34">
        <v>525</v>
      </c>
      <c r="Q34">
        <v>9296</v>
      </c>
      <c r="R34">
        <v>938</v>
      </c>
      <c r="S34">
        <v>9511.5</v>
      </c>
      <c r="T34">
        <v>15231.5</v>
      </c>
      <c r="U34">
        <v>41936</v>
      </c>
      <c r="V34">
        <v>12598.5</v>
      </c>
      <c r="W34">
        <v>10126</v>
      </c>
      <c r="Y34">
        <v>5440</v>
      </c>
      <c r="AA34">
        <v>9</v>
      </c>
      <c r="AB34">
        <v>0.21548129675810401</v>
      </c>
      <c r="AC34">
        <v>0.32321549694769097</v>
      </c>
      <c r="AD34">
        <v>-2.76474222111435E-2</v>
      </c>
      <c r="AE34">
        <v>-9.4610132950053896E-2</v>
      </c>
      <c r="AF34">
        <v>-2008.9417000000001</v>
      </c>
      <c r="AG34">
        <f t="shared" si="0"/>
        <v>1.2656729710093979</v>
      </c>
      <c r="AH34">
        <f t="shared" si="1"/>
        <v>0.24995670850580107</v>
      </c>
      <c r="AI34">
        <f t="shared" si="2"/>
        <v>0.2311764943620418</v>
      </c>
      <c r="AJ34">
        <f t="shared" si="3"/>
        <v>5719</v>
      </c>
      <c r="AK34">
        <f t="shared" si="4"/>
        <v>0.82713455667531099</v>
      </c>
      <c r="AL34">
        <f t="shared" si="5"/>
        <v>0.20134082618554669</v>
      </c>
      <c r="AM34">
        <f t="shared" si="6"/>
        <v>0.96750076289288989</v>
      </c>
      <c r="AN34">
        <f t="shared" si="7"/>
        <v>-1.6518030244280731E-2</v>
      </c>
      <c r="AO34">
        <f t="shared" si="8"/>
        <v>-0.20645635958395414</v>
      </c>
      <c r="AP34">
        <f t="shared" si="9"/>
        <v>0.10880327399942794</v>
      </c>
      <c r="AQ34">
        <f t="shared" si="10"/>
        <v>0.64543872894987364</v>
      </c>
      <c r="AR34">
        <f t="shared" si="11"/>
        <v>0.62446246265961991</v>
      </c>
    </row>
    <row r="35" spans="1:44" x14ac:dyDescent="0.25">
      <c r="A35">
        <v>33</v>
      </c>
      <c r="B35">
        <v>-32.086390000000002</v>
      </c>
      <c r="C35">
        <v>25.575559999999999</v>
      </c>
      <c r="D35" s="1">
        <v>40583</v>
      </c>
      <c r="H35">
        <v>220</v>
      </c>
      <c r="I35">
        <v>11125</v>
      </c>
      <c r="J35">
        <v>9222.5</v>
      </c>
      <c r="K35">
        <v>224</v>
      </c>
      <c r="L35">
        <v>9758.5</v>
      </c>
      <c r="M35">
        <v>49</v>
      </c>
      <c r="N35">
        <v>41063</v>
      </c>
      <c r="O35">
        <v>7720.5</v>
      </c>
      <c r="P35">
        <v>380</v>
      </c>
      <c r="Q35">
        <v>9395.5</v>
      </c>
      <c r="R35">
        <v>848.5</v>
      </c>
      <c r="S35">
        <v>10335.5</v>
      </c>
      <c r="T35">
        <v>14278.5</v>
      </c>
      <c r="U35">
        <v>41063</v>
      </c>
      <c r="V35">
        <v>12794.5</v>
      </c>
      <c r="W35">
        <v>10912</v>
      </c>
      <c r="Y35">
        <v>5440</v>
      </c>
      <c r="AA35">
        <v>9</v>
      </c>
      <c r="AB35">
        <v>0.124136437892416</v>
      </c>
      <c r="AC35">
        <v>0.186200991969768</v>
      </c>
      <c r="AD35">
        <v>8.8252970761590003E-3</v>
      </c>
      <c r="AE35">
        <v>-5.4814760093081602E-2</v>
      </c>
      <c r="AF35">
        <v>-2130.8901000000001</v>
      </c>
      <c r="AG35">
        <f t="shared" si="0"/>
        <v>0.66469236768332529</v>
      </c>
      <c r="AH35">
        <f t="shared" si="1"/>
        <v>0.14399736101018515</v>
      </c>
      <c r="AI35">
        <f t="shared" si="2"/>
        <v>0.16019338587795565</v>
      </c>
      <c r="AJ35">
        <f t="shared" si="3"/>
        <v>3942</v>
      </c>
      <c r="AK35">
        <f t="shared" si="4"/>
        <v>0.89606751409461782</v>
      </c>
      <c r="AL35">
        <f t="shared" si="5"/>
        <v>0.13364165062225838</v>
      </c>
      <c r="AM35">
        <f t="shared" si="6"/>
        <v>0.92903370786516859</v>
      </c>
      <c r="AN35">
        <f t="shared" si="7"/>
        <v>-3.6788518440856455E-2</v>
      </c>
      <c r="AO35">
        <f t="shared" si="8"/>
        <v>-0.18031969503895084</v>
      </c>
      <c r="AP35">
        <f t="shared" si="9"/>
        <v>7.9408601016598829E-2</v>
      </c>
      <c r="AQ35">
        <f t="shared" si="10"/>
        <v>0.77914346745106278</v>
      </c>
      <c r="AR35">
        <f t="shared" si="11"/>
        <v>0.7238505445249851</v>
      </c>
    </row>
    <row r="36" spans="1:44" x14ac:dyDescent="0.25">
      <c r="A36">
        <v>34</v>
      </c>
      <c r="B36">
        <v>-33.329166999999998</v>
      </c>
      <c r="C36">
        <v>26.077500000000001</v>
      </c>
      <c r="D36" s="1">
        <v>42179</v>
      </c>
      <c r="H36">
        <v>219</v>
      </c>
      <c r="I36">
        <v>9431</v>
      </c>
      <c r="J36">
        <v>8471.5</v>
      </c>
      <c r="K36">
        <v>338</v>
      </c>
      <c r="L36">
        <v>9809</v>
      </c>
      <c r="M36">
        <v>59</v>
      </c>
      <c r="N36">
        <v>39656.5</v>
      </c>
      <c r="O36">
        <v>7255</v>
      </c>
      <c r="P36">
        <v>620</v>
      </c>
      <c r="Q36">
        <v>9123.5</v>
      </c>
      <c r="R36">
        <v>323</v>
      </c>
      <c r="S36">
        <v>9303</v>
      </c>
      <c r="T36">
        <v>12940</v>
      </c>
      <c r="U36">
        <v>39656.5</v>
      </c>
      <c r="V36">
        <v>10895</v>
      </c>
      <c r="W36">
        <v>9188</v>
      </c>
      <c r="X36">
        <v>0.5</v>
      </c>
      <c r="Y36">
        <v>5440</v>
      </c>
      <c r="AA36">
        <v>9</v>
      </c>
      <c r="AB36">
        <v>0.15685485673416399</v>
      </c>
      <c r="AC36">
        <v>0.235277026573989</v>
      </c>
      <c r="AD36">
        <v>-2.6007786762503701E-2</v>
      </c>
      <c r="AE36">
        <v>-8.5798195930354496E-2</v>
      </c>
      <c r="AF36">
        <v>-1322.39984999999</v>
      </c>
      <c r="AG36">
        <f t="shared" si="0"/>
        <v>1.4643408588240203</v>
      </c>
      <c r="AH36">
        <f t="shared" si="1"/>
        <v>0.18195033248164152</v>
      </c>
      <c r="AI36">
        <f t="shared" si="2"/>
        <v>0.16351211617137976</v>
      </c>
      <c r="AJ36">
        <f t="shared" si="3"/>
        <v>3636</v>
      </c>
      <c r="AK36">
        <f t="shared" si="4"/>
        <v>0.84196290571870169</v>
      </c>
      <c r="AL36">
        <f t="shared" si="5"/>
        <v>0.1695589298626175</v>
      </c>
      <c r="AM36">
        <f t="shared" si="6"/>
        <v>0.98642773830982933</v>
      </c>
      <c r="AN36">
        <f t="shared" si="7"/>
        <v>-6.8324970641614174E-3</v>
      </c>
      <c r="AO36">
        <f t="shared" si="8"/>
        <v>-0.17179609675361895</v>
      </c>
      <c r="AP36">
        <f t="shared" si="9"/>
        <v>8.4997261365333865E-2</v>
      </c>
      <c r="AQ36">
        <f t="shared" si="10"/>
        <v>0.72882534775888719</v>
      </c>
      <c r="AR36">
        <f t="shared" si="11"/>
        <v>0.71893353941267391</v>
      </c>
    </row>
    <row r="37" spans="1:44" x14ac:dyDescent="0.25">
      <c r="A37">
        <v>35</v>
      </c>
      <c r="B37">
        <v>-32.043332999999997</v>
      </c>
      <c r="C37">
        <v>27.822778</v>
      </c>
      <c r="D37" s="1">
        <v>41827</v>
      </c>
      <c r="H37">
        <v>208</v>
      </c>
      <c r="I37">
        <v>10790.5</v>
      </c>
      <c r="J37">
        <v>8658</v>
      </c>
      <c r="K37">
        <v>498</v>
      </c>
      <c r="L37">
        <v>9706</v>
      </c>
      <c r="M37">
        <v>39</v>
      </c>
      <c r="O37">
        <v>8163.5</v>
      </c>
      <c r="P37">
        <v>947</v>
      </c>
      <c r="Q37">
        <v>8659</v>
      </c>
      <c r="R37">
        <v>354.5</v>
      </c>
      <c r="S37">
        <v>9910.5</v>
      </c>
      <c r="T37">
        <v>13210.5</v>
      </c>
      <c r="V37">
        <v>13044.5</v>
      </c>
      <c r="W37">
        <v>11160.5</v>
      </c>
      <c r="Y37">
        <v>21824</v>
      </c>
      <c r="AB37">
        <v>0.100829132119495</v>
      </c>
      <c r="AC37">
        <v>0.151240547465783</v>
      </c>
      <c r="AD37">
        <v>4.3027339262857303E-2</v>
      </c>
      <c r="AE37">
        <v>-6.3226052180537003E-3</v>
      </c>
      <c r="AF37">
        <v>-3064.9386500000001</v>
      </c>
      <c r="AG37">
        <f t="shared" si="0"/>
        <v>0.46468758400860249</v>
      </c>
      <c r="AH37">
        <f t="shared" si="1"/>
        <v>0.1169610135510117</v>
      </c>
      <c r="AI37">
        <f t="shared" si="2"/>
        <v>0.14272739068379395</v>
      </c>
      <c r="AJ37">
        <f t="shared" si="3"/>
        <v>3299</v>
      </c>
      <c r="AK37">
        <f t="shared" si="4"/>
        <v>0.98743423791680862</v>
      </c>
      <c r="AL37">
        <f t="shared" si="5"/>
        <v>8.4116367814205409E-2</v>
      </c>
      <c r="AM37">
        <f t="shared" si="6"/>
        <v>0.91844678189147866</v>
      </c>
      <c r="AN37">
        <f t="shared" si="7"/>
        <v>-4.2510023670354093E-2</v>
      </c>
      <c r="AO37">
        <f t="shared" si="8"/>
        <v>-0.10136047476166365</v>
      </c>
      <c r="AP37">
        <f t="shared" si="9"/>
        <v>7.7835158025201398E-2</v>
      </c>
      <c r="AQ37">
        <f t="shared" si="10"/>
        <v>0.8168123840884145</v>
      </c>
      <c r="AR37">
        <f t="shared" si="11"/>
        <v>0.7501987055751107</v>
      </c>
    </row>
    <row r="38" spans="1:44" x14ac:dyDescent="0.25">
      <c r="A38">
        <v>36</v>
      </c>
      <c r="B38">
        <v>-33.731110999999999</v>
      </c>
      <c r="C38">
        <v>24.618333</v>
      </c>
      <c r="D38" s="1">
        <v>41186</v>
      </c>
      <c r="H38">
        <v>234</v>
      </c>
      <c r="I38">
        <v>8206</v>
      </c>
      <c r="J38">
        <v>8094</v>
      </c>
      <c r="K38">
        <v>1453.5</v>
      </c>
      <c r="L38">
        <v>9708</v>
      </c>
      <c r="M38">
        <v>61</v>
      </c>
      <c r="N38">
        <v>47147.5</v>
      </c>
      <c r="O38">
        <v>9692.5</v>
      </c>
      <c r="P38">
        <v>3125.5</v>
      </c>
      <c r="Q38">
        <v>6242.5</v>
      </c>
      <c r="R38">
        <v>4345</v>
      </c>
      <c r="S38">
        <v>8573</v>
      </c>
      <c r="T38">
        <v>12701</v>
      </c>
      <c r="U38">
        <v>47147.5</v>
      </c>
      <c r="V38">
        <v>10332.5</v>
      </c>
      <c r="W38">
        <v>8617</v>
      </c>
      <c r="X38">
        <v>0.5</v>
      </c>
      <c r="Y38">
        <v>5440</v>
      </c>
      <c r="AA38">
        <v>30.5</v>
      </c>
      <c r="AB38">
        <v>0.21499976084564901</v>
      </c>
      <c r="AC38">
        <v>0.32249192873370802</v>
      </c>
      <c r="AD38">
        <v>-5.7368400981351701E-2</v>
      </c>
      <c r="AE38">
        <v>-0.102828488940022</v>
      </c>
      <c r="AF38">
        <v>-1346.4137499999999</v>
      </c>
      <c r="AG38">
        <f t="shared" si="0"/>
        <v>9.1139497161394978</v>
      </c>
      <c r="AH38">
        <f t="shared" si="1"/>
        <v>0.24939781395464519</v>
      </c>
      <c r="AI38">
        <f t="shared" si="2"/>
        <v>0.1940396728400865</v>
      </c>
      <c r="AJ38">
        <f t="shared" si="3"/>
        <v>4127</v>
      </c>
      <c r="AK38">
        <f t="shared" si="4"/>
        <v>0.81351862058105662</v>
      </c>
      <c r="AL38">
        <f t="shared" si="5"/>
        <v>0.1915751946711699</v>
      </c>
      <c r="AM38">
        <f t="shared" si="6"/>
        <v>1.0447233731416037</v>
      </c>
      <c r="AN38">
        <f t="shared" si="7"/>
        <v>2.1872578818761548E-2</v>
      </c>
      <c r="AO38">
        <f t="shared" si="8"/>
        <v>-0.14367256103564696</v>
      </c>
      <c r="AP38">
        <f t="shared" si="9"/>
        <v>9.0530093142299276E-2</v>
      </c>
      <c r="AQ38">
        <f t="shared" si="10"/>
        <v>0.64609085898748131</v>
      </c>
      <c r="AR38">
        <f t="shared" si="11"/>
        <v>0.67498622155735766</v>
      </c>
    </row>
    <row r="39" spans="1:44" x14ac:dyDescent="0.25">
      <c r="A39">
        <v>37</v>
      </c>
      <c r="B39">
        <v>-32.043332999999997</v>
      </c>
      <c r="C39">
        <v>27.822778</v>
      </c>
      <c r="D39" s="1">
        <v>41792</v>
      </c>
      <c r="H39">
        <v>413.5</v>
      </c>
      <c r="I39">
        <v>9963</v>
      </c>
      <c r="J39">
        <v>8297.5</v>
      </c>
      <c r="K39">
        <v>355</v>
      </c>
      <c r="L39">
        <v>9706</v>
      </c>
      <c r="M39">
        <v>39</v>
      </c>
      <c r="O39">
        <v>7774.5</v>
      </c>
      <c r="P39">
        <v>647</v>
      </c>
      <c r="Q39">
        <v>9023</v>
      </c>
      <c r="R39">
        <v>40.5</v>
      </c>
      <c r="S39">
        <v>9492.5</v>
      </c>
      <c r="T39">
        <v>13445.5</v>
      </c>
      <c r="V39">
        <v>11979</v>
      </c>
      <c r="W39">
        <v>9927.5</v>
      </c>
      <c r="Y39">
        <v>21824</v>
      </c>
      <c r="AB39">
        <v>0.14877074566930801</v>
      </c>
      <c r="AC39">
        <v>0.22315135204408501</v>
      </c>
      <c r="AD39">
        <v>4.5553393613368002E-3</v>
      </c>
      <c r="AE39">
        <v>-5.7680583688961402E-2</v>
      </c>
      <c r="AF39">
        <v>-2073.0443</v>
      </c>
      <c r="AG39">
        <f t="shared" si="0"/>
        <v>0.79196325017624447</v>
      </c>
      <c r="AH39">
        <f t="shared" si="1"/>
        <v>0.17257288541932772</v>
      </c>
      <c r="AI39">
        <f t="shared" si="2"/>
        <v>0.17233411805737206</v>
      </c>
      <c r="AJ39">
        <f t="shared" si="3"/>
        <v>3952</v>
      </c>
      <c r="AK39">
        <f t="shared" si="4"/>
        <v>0.89093005094641331</v>
      </c>
      <c r="AL39">
        <f t="shared" si="5"/>
        <v>0.15051555213280279</v>
      </c>
      <c r="AM39">
        <f t="shared" si="6"/>
        <v>0.95277526849342564</v>
      </c>
      <c r="AN39">
        <f t="shared" si="7"/>
        <v>-2.418339287091054E-2</v>
      </c>
      <c r="AO39">
        <f t="shared" si="8"/>
        <v>-0.15863539545864325</v>
      </c>
      <c r="AP39">
        <f t="shared" si="9"/>
        <v>9.3648004017072559E-2</v>
      </c>
      <c r="AQ39">
        <f t="shared" si="10"/>
        <v>0.74099140976534905</v>
      </c>
      <c r="AR39">
        <f t="shared" si="11"/>
        <v>0.70599828939050235</v>
      </c>
    </row>
    <row r="40" spans="1:44" x14ac:dyDescent="0.25">
      <c r="A40">
        <v>38</v>
      </c>
      <c r="B40">
        <v>-33.731110999999999</v>
      </c>
      <c r="C40">
        <v>24.618333</v>
      </c>
      <c r="D40" s="1">
        <v>41417</v>
      </c>
      <c r="H40">
        <v>241</v>
      </c>
      <c r="I40">
        <v>9245</v>
      </c>
      <c r="J40">
        <v>8656.5</v>
      </c>
      <c r="K40">
        <v>1066.5</v>
      </c>
      <c r="L40">
        <v>9708</v>
      </c>
      <c r="M40">
        <v>61</v>
      </c>
      <c r="N40">
        <v>44054</v>
      </c>
      <c r="O40">
        <v>8483</v>
      </c>
      <c r="P40">
        <v>2213.5</v>
      </c>
      <c r="Q40">
        <v>6919.5</v>
      </c>
      <c r="R40">
        <v>516.5</v>
      </c>
      <c r="S40">
        <v>9477</v>
      </c>
      <c r="T40">
        <v>14960.5</v>
      </c>
      <c r="U40">
        <v>44054</v>
      </c>
      <c r="V40">
        <v>11952</v>
      </c>
      <c r="W40">
        <v>10080</v>
      </c>
      <c r="Y40">
        <v>5440</v>
      </c>
      <c r="AA40">
        <v>103</v>
      </c>
      <c r="AB40">
        <v>0.236124021400095</v>
      </c>
      <c r="AC40">
        <v>0.35417871602082102</v>
      </c>
      <c r="AD40">
        <v>-5.4000981836033302E-2</v>
      </c>
      <c r="AE40">
        <v>-0.111788202508128</v>
      </c>
      <c r="AF40">
        <v>-1791.7253000000001</v>
      </c>
      <c r="AG40">
        <f t="shared" si="0"/>
        <v>2.5942989423993463</v>
      </c>
      <c r="AH40">
        <f t="shared" si="1"/>
        <v>0.27390205431291686</v>
      </c>
      <c r="AI40">
        <f t="shared" si="2"/>
        <v>0.22438874680306906</v>
      </c>
      <c r="AJ40">
        <f t="shared" si="3"/>
        <v>5482.5</v>
      </c>
      <c r="AK40">
        <f t="shared" si="4"/>
        <v>0.79890377995387851</v>
      </c>
      <c r="AL40">
        <f t="shared" si="5"/>
        <v>0.1949042551067271</v>
      </c>
      <c r="AM40">
        <f t="shared" si="6"/>
        <v>1.0250946457544619</v>
      </c>
      <c r="AN40">
        <f t="shared" si="7"/>
        <v>1.2391838478795001E-2</v>
      </c>
      <c r="AO40">
        <f t="shared" si="8"/>
        <v>-0.17661589926950438</v>
      </c>
      <c r="AP40">
        <f t="shared" si="9"/>
        <v>8.4967320261437912E-2</v>
      </c>
      <c r="AQ40">
        <f t="shared" si="10"/>
        <v>0.61796062965809961</v>
      </c>
      <c r="AR40">
        <f t="shared" si="11"/>
        <v>0.63346813274957392</v>
      </c>
    </row>
    <row r="41" spans="1:44" x14ac:dyDescent="0.25">
      <c r="A41">
        <v>39</v>
      </c>
      <c r="B41">
        <v>-32.043332999999997</v>
      </c>
      <c r="C41">
        <v>27.822778</v>
      </c>
      <c r="D41" s="1">
        <v>41939</v>
      </c>
      <c r="H41">
        <v>152</v>
      </c>
      <c r="I41">
        <v>10473</v>
      </c>
      <c r="J41">
        <v>9341.5</v>
      </c>
      <c r="K41">
        <v>730</v>
      </c>
      <c r="L41">
        <v>9699</v>
      </c>
      <c r="M41">
        <v>39</v>
      </c>
      <c r="N41">
        <v>46253</v>
      </c>
      <c r="O41">
        <v>9692.5</v>
      </c>
      <c r="P41">
        <v>1462.5</v>
      </c>
      <c r="Q41">
        <v>8157</v>
      </c>
      <c r="R41">
        <v>5188.5</v>
      </c>
      <c r="S41">
        <v>10243.5</v>
      </c>
      <c r="T41">
        <v>12962</v>
      </c>
      <c r="U41">
        <v>46253</v>
      </c>
      <c r="V41">
        <v>12659</v>
      </c>
      <c r="W41">
        <v>10791.5</v>
      </c>
      <c r="Y41">
        <v>5440</v>
      </c>
      <c r="AA41">
        <v>8</v>
      </c>
      <c r="AB41">
        <v>0.106208662257307</v>
      </c>
      <c r="AC41">
        <v>0.159309594418723</v>
      </c>
      <c r="AD41">
        <v>1.82346403142916E-2</v>
      </c>
      <c r="AE41">
        <v>-1.1826236290542899E-2</v>
      </c>
      <c r="AF41">
        <v>-2642.2726499999999</v>
      </c>
      <c r="AG41">
        <f t="shared" si="0"/>
        <v>1.0841064506293827</v>
      </c>
      <c r="AH41">
        <f t="shared" si="1"/>
        <v>0.12320120707518105</v>
      </c>
      <c r="AI41">
        <f t="shared" si="2"/>
        <v>0.11714895175712654</v>
      </c>
      <c r="AJ41">
        <f t="shared" si="3"/>
        <v>2717.5</v>
      </c>
      <c r="AK41">
        <f t="shared" si="4"/>
        <v>0.97662397778120658</v>
      </c>
      <c r="AL41">
        <f t="shared" si="5"/>
        <v>9.1376007746226867E-2</v>
      </c>
      <c r="AM41">
        <f t="shared" si="6"/>
        <v>0.9780865081638499</v>
      </c>
      <c r="AN41">
        <f t="shared" si="7"/>
        <v>-1.107812613134458E-2</v>
      </c>
      <c r="AO41">
        <f t="shared" si="8"/>
        <v>-4.5780473822249257E-2</v>
      </c>
      <c r="AP41">
        <f t="shared" si="9"/>
        <v>7.9635828660369709E-2</v>
      </c>
      <c r="AQ41">
        <f t="shared" si="10"/>
        <v>0.80797716401789843</v>
      </c>
      <c r="AR41">
        <f t="shared" si="11"/>
        <v>0.79027156303039658</v>
      </c>
    </row>
    <row r="42" spans="1:44" x14ac:dyDescent="0.25">
      <c r="A42">
        <v>40</v>
      </c>
      <c r="B42">
        <v>-31.903055999999999</v>
      </c>
      <c r="C42">
        <v>25.482222</v>
      </c>
      <c r="D42" s="1">
        <v>41778</v>
      </c>
      <c r="H42">
        <v>254</v>
      </c>
      <c r="I42">
        <v>9775.5</v>
      </c>
      <c r="J42">
        <v>8300</v>
      </c>
      <c r="K42">
        <v>330</v>
      </c>
      <c r="L42">
        <v>9734</v>
      </c>
      <c r="M42">
        <v>80</v>
      </c>
      <c r="O42">
        <v>7762.5</v>
      </c>
      <c r="P42">
        <v>596</v>
      </c>
      <c r="Q42">
        <v>9117.5</v>
      </c>
      <c r="R42">
        <v>235.5</v>
      </c>
      <c r="S42">
        <v>9492</v>
      </c>
      <c r="T42">
        <v>13404.5</v>
      </c>
      <c r="V42">
        <v>12325.5</v>
      </c>
      <c r="W42">
        <v>10372</v>
      </c>
      <c r="Y42">
        <v>21824</v>
      </c>
      <c r="AB42">
        <v>0.15655737704917999</v>
      </c>
      <c r="AC42">
        <v>0.234831000194128</v>
      </c>
      <c r="AD42">
        <v>9.0513748273617998E-3</v>
      </c>
      <c r="AE42">
        <v>-4.1935483870967703E-2</v>
      </c>
      <c r="AF42">
        <v>-2597.5417499999899</v>
      </c>
      <c r="AG42">
        <f t="shared" si="0"/>
        <v>0.92496304225926496</v>
      </c>
      <c r="AH42">
        <f t="shared" si="1"/>
        <v>0.18160530384604764</v>
      </c>
      <c r="AI42">
        <f t="shared" si="2"/>
        <v>0.17087764505492106</v>
      </c>
      <c r="AJ42">
        <f t="shared" si="3"/>
        <v>3911.5</v>
      </c>
      <c r="AK42">
        <f t="shared" si="4"/>
        <v>0.91950464396284826</v>
      </c>
      <c r="AL42">
        <f t="shared" si="5"/>
        <v>0.12754190061615461</v>
      </c>
      <c r="AM42">
        <f t="shared" si="6"/>
        <v>0.97099892588614389</v>
      </c>
      <c r="AN42">
        <f t="shared" si="7"/>
        <v>-1.4713896457765668E-2</v>
      </c>
      <c r="AO42">
        <f t="shared" si="8"/>
        <v>-0.11036261267431979</v>
      </c>
      <c r="AP42">
        <f t="shared" si="9"/>
        <v>8.6066747439145275E-2</v>
      </c>
      <c r="AQ42">
        <f t="shared" si="10"/>
        <v>0.72927002126151663</v>
      </c>
      <c r="AR42">
        <f t="shared" si="11"/>
        <v>0.70812040732589798</v>
      </c>
    </row>
    <row r="43" spans="1:44" x14ac:dyDescent="0.25">
      <c r="A43">
        <v>41</v>
      </c>
      <c r="B43">
        <v>-32.579166999999998</v>
      </c>
      <c r="C43">
        <v>27.366667</v>
      </c>
      <c r="D43" s="1">
        <v>40973</v>
      </c>
      <c r="H43">
        <v>317</v>
      </c>
      <c r="I43">
        <v>8455</v>
      </c>
      <c r="J43">
        <v>8017.5</v>
      </c>
      <c r="K43">
        <v>817.5</v>
      </c>
      <c r="L43">
        <v>9651</v>
      </c>
      <c r="M43">
        <v>138</v>
      </c>
      <c r="N43">
        <v>43827</v>
      </c>
      <c r="O43">
        <v>8725</v>
      </c>
      <c r="P43">
        <v>1665</v>
      </c>
      <c r="Q43">
        <v>7883.5</v>
      </c>
      <c r="R43">
        <v>148.5</v>
      </c>
      <c r="S43">
        <v>8745.5</v>
      </c>
      <c r="T43">
        <v>15243.5</v>
      </c>
      <c r="U43">
        <v>43827</v>
      </c>
      <c r="V43">
        <v>11706</v>
      </c>
      <c r="W43">
        <v>9497</v>
      </c>
      <c r="Y43">
        <v>5440</v>
      </c>
      <c r="AA43">
        <v>9</v>
      </c>
      <c r="AB43">
        <v>0.28645272907567898</v>
      </c>
      <c r="AC43">
        <v>0.42967002827123502</v>
      </c>
      <c r="AD43">
        <v>-7.1392381741974098E-2</v>
      </c>
      <c r="AE43">
        <v>-0.131264030872557</v>
      </c>
      <c r="AF43">
        <v>-1754.6741500000001</v>
      </c>
      <c r="AG43">
        <f t="shared" si="0"/>
        <v>2.9044196294870148</v>
      </c>
      <c r="AH43">
        <f t="shared" si="1"/>
        <v>0.33228292232556611</v>
      </c>
      <c r="AI43">
        <f t="shared" si="2"/>
        <v>0.27087415065238235</v>
      </c>
      <c r="AJ43">
        <f t="shared" si="3"/>
        <v>6497</v>
      </c>
      <c r="AK43">
        <f t="shared" si="4"/>
        <v>0.76793387345425923</v>
      </c>
      <c r="AL43">
        <f t="shared" si="5"/>
        <v>0.23227097269659061</v>
      </c>
      <c r="AM43">
        <f t="shared" si="6"/>
        <v>1.0343583678296866</v>
      </c>
      <c r="AN43">
        <f t="shared" si="7"/>
        <v>1.6889043923141771E-2</v>
      </c>
      <c r="AO43">
        <f t="shared" si="8"/>
        <v>-0.19884904347444698</v>
      </c>
      <c r="AP43">
        <f t="shared" si="9"/>
        <v>0.10418337027779088</v>
      </c>
      <c r="AQ43">
        <f t="shared" si="10"/>
        <v>0.55466264309377766</v>
      </c>
      <c r="AR43">
        <f t="shared" si="11"/>
        <v>0.57371994620657984</v>
      </c>
    </row>
    <row r="44" spans="1:44" x14ac:dyDescent="0.25">
      <c r="A44">
        <v>42</v>
      </c>
      <c r="B44">
        <v>-32.802778000000004</v>
      </c>
      <c r="C44">
        <v>27.856389</v>
      </c>
      <c r="D44" s="1">
        <v>41764</v>
      </c>
      <c r="H44">
        <v>233</v>
      </c>
      <c r="I44">
        <v>8511</v>
      </c>
      <c r="J44">
        <v>8093</v>
      </c>
      <c r="K44">
        <v>742</v>
      </c>
      <c r="L44">
        <v>9843</v>
      </c>
      <c r="M44">
        <v>149</v>
      </c>
      <c r="N44">
        <v>43393.5</v>
      </c>
      <c r="O44">
        <v>8650.5</v>
      </c>
      <c r="P44">
        <v>1490</v>
      </c>
      <c r="Q44">
        <v>8052</v>
      </c>
      <c r="R44">
        <v>480.5</v>
      </c>
      <c r="S44">
        <v>8674.5</v>
      </c>
      <c r="T44">
        <v>16278.5</v>
      </c>
      <c r="U44">
        <v>43393.5</v>
      </c>
      <c r="V44">
        <v>12632</v>
      </c>
      <c r="W44">
        <v>9686.5</v>
      </c>
      <c r="Y44">
        <v>5440</v>
      </c>
      <c r="AA44">
        <v>19</v>
      </c>
      <c r="AB44">
        <v>0.313338308558058</v>
      </c>
      <c r="AC44">
        <v>0.46999798305768398</v>
      </c>
      <c r="AD44">
        <v>-7.0933438794230405E-2</v>
      </c>
      <c r="AE44">
        <v>-0.12613064457549999</v>
      </c>
      <c r="AF44">
        <v>-2131.6923499999998</v>
      </c>
      <c r="AG44">
        <f t="shared" si="0"/>
        <v>2.9209912755716005</v>
      </c>
      <c r="AH44">
        <f t="shared" si="1"/>
        <v>0.36347009196576313</v>
      </c>
      <c r="AI44">
        <f t="shared" si="2"/>
        <v>0.30473289784795415</v>
      </c>
      <c r="AJ44">
        <f t="shared" si="3"/>
        <v>7603</v>
      </c>
      <c r="AK44">
        <f t="shared" si="4"/>
        <v>0.77599287403630557</v>
      </c>
      <c r="AL44">
        <f t="shared" si="5"/>
        <v>0.25388022337762373</v>
      </c>
      <c r="AM44">
        <f t="shared" si="6"/>
        <v>1.0192104335565739</v>
      </c>
      <c r="AN44">
        <f t="shared" si="7"/>
        <v>9.5138343370864981E-3</v>
      </c>
      <c r="AO44">
        <f t="shared" si="8"/>
        <v>-0.20515877735570553</v>
      </c>
      <c r="AP44">
        <f t="shared" si="9"/>
        <v>0.13197571521383605</v>
      </c>
      <c r="AQ44">
        <f t="shared" si="10"/>
        <v>0.52283687071904661</v>
      </c>
      <c r="AR44">
        <f t="shared" si="11"/>
        <v>0.53288079368492181</v>
      </c>
    </row>
    <row r="45" spans="1:44" x14ac:dyDescent="0.25">
      <c r="A45">
        <v>43</v>
      </c>
      <c r="B45">
        <v>-32.991638889999997</v>
      </c>
      <c r="C45">
        <v>27.64002778</v>
      </c>
      <c r="D45" s="1">
        <v>40696</v>
      </c>
      <c r="H45">
        <v>-9999</v>
      </c>
      <c r="K45">
        <v>-9999</v>
      </c>
      <c r="L45">
        <v>-9999</v>
      </c>
      <c r="M45">
        <v>-9999</v>
      </c>
      <c r="O45">
        <v>-9999</v>
      </c>
      <c r="P45">
        <v>-9999</v>
      </c>
      <c r="Q45">
        <v>-9999</v>
      </c>
      <c r="R45">
        <v>-9999</v>
      </c>
      <c r="Y45">
        <v>1</v>
      </c>
      <c r="AA45">
        <v>-9999</v>
      </c>
    </row>
    <row r="46" spans="1:44" x14ac:dyDescent="0.25">
      <c r="A46">
        <v>44</v>
      </c>
      <c r="B46">
        <v>-32.991638889999997</v>
      </c>
      <c r="C46">
        <v>27.64002778</v>
      </c>
      <c r="D46" s="1">
        <v>40557</v>
      </c>
      <c r="H46">
        <v>-9999</v>
      </c>
      <c r="K46">
        <v>-9999</v>
      </c>
      <c r="L46">
        <v>-9999</v>
      </c>
      <c r="M46">
        <v>-9999</v>
      </c>
      <c r="O46">
        <v>-9999</v>
      </c>
      <c r="P46">
        <v>-9999</v>
      </c>
      <c r="Q46">
        <v>-9999</v>
      </c>
      <c r="R46">
        <v>-9999</v>
      </c>
      <c r="Y46">
        <v>1</v>
      </c>
      <c r="AA46">
        <v>-9999</v>
      </c>
    </row>
    <row r="47" spans="1:44" x14ac:dyDescent="0.25">
      <c r="A47">
        <v>45</v>
      </c>
      <c r="B47">
        <v>-32.991638889999997</v>
      </c>
      <c r="C47">
        <v>27.64002778</v>
      </c>
      <c r="D47" s="1">
        <v>41942</v>
      </c>
      <c r="H47">
        <v>209</v>
      </c>
      <c r="I47">
        <v>9378</v>
      </c>
      <c r="J47">
        <v>8515.5</v>
      </c>
      <c r="K47">
        <v>858</v>
      </c>
      <c r="L47">
        <v>9823.5</v>
      </c>
      <c r="M47">
        <v>47</v>
      </c>
      <c r="O47">
        <v>9184</v>
      </c>
      <c r="P47">
        <v>1767</v>
      </c>
      <c r="Q47">
        <v>7700</v>
      </c>
      <c r="R47">
        <v>512.5</v>
      </c>
      <c r="S47">
        <v>9493.5</v>
      </c>
      <c r="T47">
        <v>14693.5</v>
      </c>
      <c r="V47">
        <v>13449</v>
      </c>
      <c r="W47">
        <v>11459</v>
      </c>
      <c r="Y47">
        <v>21824</v>
      </c>
      <c r="AB47">
        <v>0.22082130320088</v>
      </c>
      <c r="AC47">
        <v>0.33122507477567298</v>
      </c>
      <c r="AD47">
        <v>-8.2978538535059005E-3</v>
      </c>
      <c r="AE47">
        <v>-4.4221373367682303E-2</v>
      </c>
      <c r="AF47">
        <v>-3551.17894999999</v>
      </c>
      <c r="AG47">
        <f t="shared" si="0"/>
        <v>1.8726440021137924</v>
      </c>
      <c r="AH47">
        <f t="shared" si="1"/>
        <v>0.25615100911195987</v>
      </c>
      <c r="AI47">
        <f t="shared" si="2"/>
        <v>0.21499152437259686</v>
      </c>
      <c r="AJ47">
        <f t="shared" si="3"/>
        <v>5199</v>
      </c>
      <c r="AK47">
        <f t="shared" si="4"/>
        <v>0.91530268486065269</v>
      </c>
      <c r="AL47">
        <f t="shared" si="5"/>
        <v>0.12367842462479686</v>
      </c>
      <c r="AM47">
        <f t="shared" si="6"/>
        <v>1.0123160588611644</v>
      </c>
      <c r="AN47">
        <f t="shared" si="7"/>
        <v>6.1203401955329468E-3</v>
      </c>
      <c r="AO47">
        <f t="shared" si="8"/>
        <v>-7.2531096147405494E-2</v>
      </c>
      <c r="AP47">
        <f t="shared" si="9"/>
        <v>7.9894009956640435E-2</v>
      </c>
      <c r="AQ47">
        <f t="shared" si="10"/>
        <v>0.63824139925817536</v>
      </c>
      <c r="AR47">
        <f t="shared" si="11"/>
        <v>0.64610201789907107</v>
      </c>
    </row>
    <row r="48" spans="1:44" x14ac:dyDescent="0.25">
      <c r="A48">
        <v>46</v>
      </c>
      <c r="B48">
        <v>-34.096389000000002</v>
      </c>
      <c r="C48">
        <v>24.439167000000001</v>
      </c>
      <c r="D48" s="1">
        <v>40828</v>
      </c>
      <c r="H48">
        <v>-9999</v>
      </c>
      <c r="K48">
        <v>-9999</v>
      </c>
      <c r="L48">
        <v>-9999</v>
      </c>
      <c r="M48">
        <v>-9999</v>
      </c>
      <c r="O48">
        <v>-9999</v>
      </c>
      <c r="P48">
        <v>-9999</v>
      </c>
      <c r="Q48">
        <v>-9999</v>
      </c>
      <c r="R48">
        <v>-9999</v>
      </c>
      <c r="Y48">
        <v>1</v>
      </c>
      <c r="AA48">
        <v>-9999</v>
      </c>
    </row>
    <row r="49" spans="1:44" x14ac:dyDescent="0.25">
      <c r="A49">
        <v>47</v>
      </c>
      <c r="B49">
        <v>-33.185361110000002</v>
      </c>
      <c r="C49">
        <v>27.390750000000001</v>
      </c>
      <c r="D49" s="1">
        <v>42326</v>
      </c>
      <c r="H49">
        <v>205</v>
      </c>
      <c r="I49">
        <v>8805</v>
      </c>
      <c r="J49">
        <v>8233.5</v>
      </c>
      <c r="K49">
        <v>848</v>
      </c>
      <c r="L49">
        <v>9718</v>
      </c>
      <c r="M49">
        <v>80</v>
      </c>
      <c r="O49">
        <v>9434</v>
      </c>
      <c r="P49">
        <v>1727.5</v>
      </c>
      <c r="Q49">
        <v>7822</v>
      </c>
      <c r="R49">
        <v>1000.5</v>
      </c>
      <c r="S49">
        <v>9304</v>
      </c>
      <c r="T49">
        <v>20018</v>
      </c>
      <c r="V49">
        <v>12432</v>
      </c>
      <c r="W49">
        <v>9650</v>
      </c>
      <c r="Y49">
        <v>21824</v>
      </c>
      <c r="AB49">
        <v>0.389029594421122</v>
      </c>
      <c r="AC49">
        <v>0.58353426891251903</v>
      </c>
      <c r="AD49">
        <v>-0.14174000020206701</v>
      </c>
      <c r="AE49">
        <v>-0.233775038520801</v>
      </c>
      <c r="AF49">
        <v>-456.71424999999999</v>
      </c>
      <c r="AG49">
        <f t="shared" si="0"/>
        <v>2.5259624698700187</v>
      </c>
      <c r="AH49">
        <f t="shared" si="1"/>
        <v>0.45127182446338293</v>
      </c>
      <c r="AI49">
        <f t="shared" si="2"/>
        <v>0.36539117386262876</v>
      </c>
      <c r="AJ49">
        <f t="shared" si="3"/>
        <v>10713</v>
      </c>
      <c r="AK49">
        <f t="shared" si="4"/>
        <v>0.62104106304326101</v>
      </c>
      <c r="AL49">
        <f t="shared" si="5"/>
        <v>0.34946743966563298</v>
      </c>
      <c r="AM49">
        <f t="shared" si="6"/>
        <v>1.0566723452583759</v>
      </c>
      <c r="AN49">
        <f t="shared" si="7"/>
        <v>2.7555359213650672E-2</v>
      </c>
      <c r="AO49">
        <f t="shared" si="8"/>
        <v>-0.32532609086903475</v>
      </c>
      <c r="AP49">
        <f t="shared" si="9"/>
        <v>0.12598496512997012</v>
      </c>
      <c r="AQ49">
        <f t="shared" si="10"/>
        <v>0.43985413128184636</v>
      </c>
      <c r="AR49">
        <f t="shared" si="11"/>
        <v>0.46478169647317413</v>
      </c>
    </row>
    <row r="50" spans="1:44" x14ac:dyDescent="0.25">
      <c r="A50">
        <v>48</v>
      </c>
      <c r="B50">
        <v>-32.991638889999997</v>
      </c>
      <c r="C50">
        <v>27.64002778</v>
      </c>
      <c r="D50" s="1">
        <v>42215</v>
      </c>
      <c r="H50">
        <v>207.5</v>
      </c>
      <c r="I50">
        <v>9520</v>
      </c>
      <c r="J50">
        <v>8245.5</v>
      </c>
      <c r="K50">
        <v>399</v>
      </c>
      <c r="L50">
        <v>9817.5</v>
      </c>
      <c r="M50">
        <v>47</v>
      </c>
      <c r="O50">
        <v>7646.5</v>
      </c>
      <c r="P50">
        <v>742</v>
      </c>
      <c r="Q50">
        <v>8873</v>
      </c>
      <c r="R50">
        <v>940</v>
      </c>
      <c r="S50">
        <v>9431.5</v>
      </c>
      <c r="T50">
        <v>14629</v>
      </c>
      <c r="V50">
        <v>12426</v>
      </c>
      <c r="W50">
        <v>10006</v>
      </c>
      <c r="Y50">
        <v>21824</v>
      </c>
      <c r="AB50">
        <v>0.211561555343906</v>
      </c>
      <c r="AC50">
        <v>0.31733576264518898</v>
      </c>
      <c r="AD50">
        <v>-2.0715967024018001E-2</v>
      </c>
      <c r="AE50">
        <v>-8.1426723341341697E-2</v>
      </c>
      <c r="AF50">
        <v>-2189.0733</v>
      </c>
      <c r="AG50">
        <f t="shared" si="0"/>
        <v>1.289012236659518</v>
      </c>
      <c r="AH50">
        <f t="shared" si="1"/>
        <v>0.24540977822831103</v>
      </c>
      <c r="AI50">
        <f t="shared" si="2"/>
        <v>0.21601795473909519</v>
      </c>
      <c r="AJ50">
        <f t="shared" si="3"/>
        <v>5196.5</v>
      </c>
      <c r="AK50">
        <f t="shared" si="4"/>
        <v>0.84940870872923646</v>
      </c>
      <c r="AL50">
        <f t="shared" si="5"/>
        <v>0.18765983357012381</v>
      </c>
      <c r="AM50">
        <f t="shared" si="6"/>
        <v>0.99070378151260508</v>
      </c>
      <c r="AN50">
        <f t="shared" si="7"/>
        <v>-4.6698150542173441E-3</v>
      </c>
      <c r="AO50">
        <f t="shared" si="8"/>
        <v>-0.15997474035097337</v>
      </c>
      <c r="AP50">
        <f t="shared" si="9"/>
        <v>0.10788159771754637</v>
      </c>
      <c r="AQ50">
        <f t="shared" si="10"/>
        <v>0.65076218470162006</v>
      </c>
      <c r="AR50">
        <f t="shared" si="11"/>
        <v>0.64471255724929932</v>
      </c>
    </row>
    <row r="51" spans="1:44" x14ac:dyDescent="0.25">
      <c r="A51">
        <v>49</v>
      </c>
      <c r="B51">
        <v>-32.000555560000002</v>
      </c>
      <c r="C51">
        <v>28.581666670000001</v>
      </c>
      <c r="D51" s="1">
        <v>41941</v>
      </c>
      <c r="H51">
        <v>216</v>
      </c>
      <c r="I51">
        <v>13276</v>
      </c>
      <c r="J51">
        <v>10033.5</v>
      </c>
      <c r="K51">
        <v>1019</v>
      </c>
      <c r="L51">
        <v>9855.5</v>
      </c>
      <c r="O51">
        <v>9365.5</v>
      </c>
      <c r="P51">
        <v>2081.5</v>
      </c>
      <c r="Q51">
        <v>7184.5</v>
      </c>
      <c r="R51">
        <v>723.5</v>
      </c>
      <c r="S51">
        <v>12053</v>
      </c>
      <c r="T51">
        <v>11417.5</v>
      </c>
      <c r="V51">
        <v>9903</v>
      </c>
      <c r="W51">
        <v>9023</v>
      </c>
      <c r="Y51">
        <v>21824</v>
      </c>
      <c r="AB51">
        <v>-7.5262720958956794E-2</v>
      </c>
      <c r="AC51">
        <v>-0.112891795577873</v>
      </c>
      <c r="AD51">
        <v>3.8718350885054799E-2</v>
      </c>
      <c r="AE51">
        <v>-7.1034919443727806E-2</v>
      </c>
      <c r="AF51">
        <v>981.02099999999803</v>
      </c>
      <c r="AG51">
        <f t="shared" si="0"/>
        <v>-0.29363436714960578</v>
      </c>
      <c r="AH51">
        <f t="shared" si="1"/>
        <v>-8.7304190630307518E-2</v>
      </c>
      <c r="AI51">
        <f t="shared" si="2"/>
        <v>-2.7076542894271534E-2</v>
      </c>
      <c r="AJ51">
        <f t="shared" si="3"/>
        <v>-636.5</v>
      </c>
      <c r="AK51">
        <f t="shared" si="4"/>
        <v>0.86735274797460038</v>
      </c>
      <c r="AL51">
        <f t="shared" si="5"/>
        <v>0.11714488393141068</v>
      </c>
      <c r="AM51">
        <f t="shared" si="6"/>
        <v>0.90787887918047605</v>
      </c>
      <c r="AN51">
        <f t="shared" si="7"/>
        <v>-4.8284574993090926E-2</v>
      </c>
      <c r="AO51">
        <f t="shared" si="8"/>
        <v>-0.23411576608828844</v>
      </c>
      <c r="AP51">
        <f t="shared" si="9"/>
        <v>4.649688259537145E-2</v>
      </c>
      <c r="AQ51">
        <f t="shared" si="10"/>
        <v>1.1627764396759361</v>
      </c>
      <c r="AR51">
        <f t="shared" si="11"/>
        <v>1.0556601707904532</v>
      </c>
    </row>
    <row r="52" spans="1:44" x14ac:dyDescent="0.25">
      <c r="A52">
        <v>50</v>
      </c>
      <c r="B52">
        <v>-32.043332999999997</v>
      </c>
      <c r="C52">
        <v>27.822778</v>
      </c>
      <c r="D52" s="1">
        <v>41674</v>
      </c>
      <c r="H52">
        <v>228</v>
      </c>
      <c r="I52">
        <v>9930.5</v>
      </c>
      <c r="J52">
        <v>8611.5</v>
      </c>
      <c r="K52">
        <v>1421</v>
      </c>
      <c r="L52">
        <v>9704</v>
      </c>
      <c r="M52">
        <v>39</v>
      </c>
      <c r="O52">
        <v>9566</v>
      </c>
      <c r="P52">
        <v>3087</v>
      </c>
      <c r="Q52">
        <v>6115</v>
      </c>
      <c r="R52">
        <v>2314.5</v>
      </c>
      <c r="S52">
        <v>9747</v>
      </c>
      <c r="T52">
        <v>14530</v>
      </c>
      <c r="V52">
        <v>11965.5</v>
      </c>
      <c r="W52">
        <v>9916.5</v>
      </c>
      <c r="Y52">
        <v>21824</v>
      </c>
      <c r="AB52">
        <v>0.18803785695304601</v>
      </c>
      <c r="AC52">
        <v>0.28205101999100601</v>
      </c>
      <c r="AD52">
        <v>-2.7654732167637999E-2</v>
      </c>
      <c r="AE52">
        <v>-9.6790020946953201E-2</v>
      </c>
      <c r="AF52">
        <v>-1601.9438</v>
      </c>
      <c r="AG52">
        <f t="shared" si="0"/>
        <v>1.2068694077825299</v>
      </c>
      <c r="AH52">
        <f t="shared" si="1"/>
        <v>0.21812248729183922</v>
      </c>
      <c r="AI52">
        <f t="shared" si="2"/>
        <v>0.19701775342917163</v>
      </c>
      <c r="AJ52">
        <f t="shared" si="3"/>
        <v>4782</v>
      </c>
      <c r="AK52">
        <f t="shared" si="4"/>
        <v>0.82350309704060565</v>
      </c>
      <c r="AL52">
        <f t="shared" si="5"/>
        <v>0.1887182214222895</v>
      </c>
      <c r="AM52">
        <f t="shared" si="6"/>
        <v>0.98152157494587378</v>
      </c>
      <c r="AN52">
        <f t="shared" si="7"/>
        <v>-9.3253716173294365E-3</v>
      </c>
      <c r="AO52">
        <f t="shared" si="8"/>
        <v>-0.19532320848930107</v>
      </c>
      <c r="AP52">
        <f t="shared" si="9"/>
        <v>9.3638607074307656E-2</v>
      </c>
      <c r="AQ52">
        <f t="shared" si="10"/>
        <v>0.68344803854094971</v>
      </c>
      <c r="AR52">
        <f t="shared" si="11"/>
        <v>0.67081899518238131</v>
      </c>
    </row>
    <row r="53" spans="1:44" x14ac:dyDescent="0.25">
      <c r="A53">
        <v>51</v>
      </c>
      <c r="B53">
        <v>-33.771110999999998</v>
      </c>
      <c r="C53">
        <v>25.386666999999999</v>
      </c>
      <c r="D53" s="1">
        <v>41977</v>
      </c>
      <c r="H53">
        <v>319.5</v>
      </c>
      <c r="I53">
        <v>9222</v>
      </c>
      <c r="J53">
        <v>8662</v>
      </c>
      <c r="K53">
        <v>1001</v>
      </c>
      <c r="L53">
        <v>9831.5</v>
      </c>
      <c r="M53">
        <v>96</v>
      </c>
      <c r="N53">
        <v>45702.5</v>
      </c>
      <c r="O53">
        <v>9450.5</v>
      </c>
      <c r="P53">
        <v>2089</v>
      </c>
      <c r="Q53">
        <v>7382</v>
      </c>
      <c r="R53">
        <v>142.5</v>
      </c>
      <c r="S53">
        <v>9528</v>
      </c>
      <c r="T53">
        <v>17470.5</v>
      </c>
      <c r="U53">
        <v>45702.5</v>
      </c>
      <c r="V53">
        <v>13101</v>
      </c>
      <c r="W53">
        <v>10068</v>
      </c>
      <c r="X53">
        <v>8</v>
      </c>
      <c r="Y53">
        <v>5440</v>
      </c>
      <c r="AA53">
        <v>16</v>
      </c>
      <c r="AB53">
        <v>0.30901938746838897</v>
      </c>
      <c r="AC53">
        <v>0.46352039860637601</v>
      </c>
      <c r="AD53">
        <v>-7.8618526276686806E-2</v>
      </c>
      <c r="AE53">
        <v>-0.142927236151317</v>
      </c>
      <c r="AF53">
        <v>-1745.4983499999901</v>
      </c>
      <c r="AG53">
        <f t="shared" si="0"/>
        <v>2.6307648146966893</v>
      </c>
      <c r="AH53">
        <f t="shared" si="1"/>
        <v>0.35846034078282196</v>
      </c>
      <c r="AI53">
        <f t="shared" si="2"/>
        <v>0.29418301016723153</v>
      </c>
      <c r="AJ53">
        <f t="shared" si="3"/>
        <v>7941.5</v>
      </c>
      <c r="AK53">
        <f t="shared" si="4"/>
        <v>0.74989267622563749</v>
      </c>
      <c r="AL53">
        <f t="shared" si="5"/>
        <v>0.26880549049512503</v>
      </c>
      <c r="AM53">
        <f t="shared" si="6"/>
        <v>1.0331815224463241</v>
      </c>
      <c r="AN53">
        <f t="shared" si="7"/>
        <v>1.6320000000000001E-2</v>
      </c>
      <c r="AO53">
        <f t="shared" si="8"/>
        <v>-0.21799145475673032</v>
      </c>
      <c r="AP53">
        <f t="shared" si="9"/>
        <v>0.13090767836333031</v>
      </c>
      <c r="AQ53">
        <f t="shared" si="10"/>
        <v>0.52786125182450416</v>
      </c>
      <c r="AR53">
        <f t="shared" si="11"/>
        <v>0.54537649180046366</v>
      </c>
    </row>
    <row r="54" spans="1:44" x14ac:dyDescent="0.25">
      <c r="A54">
        <v>52</v>
      </c>
      <c r="B54">
        <v>-32.579166999999998</v>
      </c>
      <c r="C54">
        <v>27.366667</v>
      </c>
      <c r="D54" s="1">
        <v>41058</v>
      </c>
      <c r="H54">
        <v>359.5</v>
      </c>
      <c r="I54">
        <v>8680.5</v>
      </c>
      <c r="J54">
        <v>8103</v>
      </c>
      <c r="K54">
        <v>476.5</v>
      </c>
      <c r="L54">
        <v>9657</v>
      </c>
      <c r="M54">
        <v>138</v>
      </c>
      <c r="N54">
        <v>41031.5</v>
      </c>
      <c r="O54">
        <v>7665</v>
      </c>
      <c r="P54">
        <v>902</v>
      </c>
      <c r="Q54">
        <v>8735.5</v>
      </c>
      <c r="R54">
        <v>94</v>
      </c>
      <c r="S54">
        <v>8584.5</v>
      </c>
      <c r="T54">
        <v>11906.5</v>
      </c>
      <c r="U54">
        <v>41031.5</v>
      </c>
      <c r="V54">
        <v>10940</v>
      </c>
      <c r="W54">
        <v>9242</v>
      </c>
      <c r="Y54">
        <v>5440</v>
      </c>
      <c r="AA54">
        <v>10</v>
      </c>
      <c r="AB54">
        <v>0.156700830621265</v>
      </c>
      <c r="AC54">
        <v>0.235045537340619</v>
      </c>
      <c r="AD54">
        <v>-9.8157961140549997E-3</v>
      </c>
      <c r="AE54">
        <v>-4.2304072833913201E-2</v>
      </c>
      <c r="AF54">
        <v>-2174.9879500000002</v>
      </c>
      <c r="AG54">
        <f t="shared" si="0"/>
        <v>2.5062150403977626</v>
      </c>
      <c r="AH54">
        <f t="shared" si="1"/>
        <v>0.18177155081128238</v>
      </c>
      <c r="AI54">
        <f t="shared" si="2"/>
        <v>0.16211995510224</v>
      </c>
      <c r="AJ54">
        <f t="shared" si="3"/>
        <v>3321</v>
      </c>
      <c r="AK54">
        <f t="shared" si="4"/>
        <v>0.91882585142569184</v>
      </c>
      <c r="AL54">
        <f t="shared" si="5"/>
        <v>0.12599002293306855</v>
      </c>
      <c r="AM54">
        <f t="shared" si="6"/>
        <v>0.988940729220667</v>
      </c>
      <c r="AN54">
        <f t="shared" si="7"/>
        <v>-5.5603822762814942E-3</v>
      </c>
      <c r="AO54">
        <f t="shared" si="8"/>
        <v>-9.235709458164687E-2</v>
      </c>
      <c r="AP54">
        <f t="shared" si="9"/>
        <v>8.4134377167773264E-2</v>
      </c>
      <c r="AQ54">
        <f t="shared" si="10"/>
        <v>0.72905555788854826</v>
      </c>
      <c r="AR54">
        <f t="shared" si="11"/>
        <v>0.72099273506068118</v>
      </c>
    </row>
    <row r="55" spans="1:44" x14ac:dyDescent="0.25">
      <c r="A55">
        <v>53</v>
      </c>
      <c r="B55">
        <v>-33.329166999999998</v>
      </c>
      <c r="C55">
        <v>26.077500000000001</v>
      </c>
      <c r="D55" s="1">
        <v>42283</v>
      </c>
      <c r="H55">
        <v>143</v>
      </c>
      <c r="I55">
        <v>8913.5</v>
      </c>
      <c r="J55">
        <v>7874.5</v>
      </c>
      <c r="K55">
        <v>644.5</v>
      </c>
      <c r="L55">
        <v>9813</v>
      </c>
      <c r="M55">
        <v>59</v>
      </c>
      <c r="O55">
        <v>8307</v>
      </c>
      <c r="P55">
        <v>1255.5</v>
      </c>
      <c r="Q55">
        <v>8235.5</v>
      </c>
      <c r="R55">
        <v>3784.5</v>
      </c>
      <c r="S55">
        <v>8949.5</v>
      </c>
      <c r="T55">
        <v>13986.5</v>
      </c>
      <c r="V55">
        <v>10916.5</v>
      </c>
      <c r="W55">
        <v>9273.5</v>
      </c>
      <c r="Y55">
        <v>21824</v>
      </c>
      <c r="AB55">
        <v>0.22152838427947599</v>
      </c>
      <c r="AC55">
        <v>0.33228532128119398</v>
      </c>
      <c r="AD55">
        <v>-4.8715550118730598E-2</v>
      </c>
      <c r="AE55">
        <v>-0.12327831988113799</v>
      </c>
      <c r="AF55">
        <v>-1349.9857999999999</v>
      </c>
      <c r="AG55">
        <f t="shared" si="0"/>
        <v>1.5080709890305894</v>
      </c>
      <c r="AH55">
        <f t="shared" si="1"/>
        <v>0.25697113033271379</v>
      </c>
      <c r="AI55">
        <f t="shared" si="2"/>
        <v>0.21961109173351936</v>
      </c>
      <c r="AJ55">
        <f t="shared" si="3"/>
        <v>5036</v>
      </c>
      <c r="AK55">
        <f t="shared" si="4"/>
        <v>0.78050262753369315</v>
      </c>
      <c r="AL55">
        <f t="shared" si="5"/>
        <v>0.2026225279449699</v>
      </c>
      <c r="AM55">
        <f t="shared" si="6"/>
        <v>1.0040388175239805</v>
      </c>
      <c r="AN55">
        <f t="shared" si="7"/>
        <v>2.0153389688182277E-3</v>
      </c>
      <c r="AO55">
        <f t="shared" si="8"/>
        <v>-0.21547480137294972</v>
      </c>
      <c r="AP55">
        <f t="shared" si="9"/>
        <v>8.1376919266963846E-2</v>
      </c>
      <c r="AQ55">
        <f t="shared" si="10"/>
        <v>0.6372931040646338</v>
      </c>
      <c r="AR55">
        <f t="shared" si="11"/>
        <v>0.63986701462124196</v>
      </c>
    </row>
    <row r="56" spans="1:44" x14ac:dyDescent="0.25">
      <c r="A56">
        <v>54</v>
      </c>
      <c r="B56">
        <v>-33.185361110000002</v>
      </c>
      <c r="C56">
        <v>27.390750000000001</v>
      </c>
      <c r="D56" s="1">
        <v>41568</v>
      </c>
      <c r="H56">
        <v>231</v>
      </c>
      <c r="I56">
        <v>8879</v>
      </c>
      <c r="J56">
        <v>8190.5</v>
      </c>
      <c r="K56">
        <v>1397</v>
      </c>
      <c r="L56">
        <v>9718</v>
      </c>
      <c r="M56">
        <v>80</v>
      </c>
      <c r="O56">
        <v>9831.5</v>
      </c>
      <c r="P56">
        <v>3074</v>
      </c>
      <c r="Q56">
        <v>6316</v>
      </c>
      <c r="R56">
        <v>1175.5</v>
      </c>
      <c r="S56">
        <v>9320</v>
      </c>
      <c r="T56">
        <v>18905.5</v>
      </c>
      <c r="V56">
        <v>12488</v>
      </c>
      <c r="W56">
        <v>9562</v>
      </c>
      <c r="Y56">
        <v>21824</v>
      </c>
      <c r="AB56">
        <v>0.360866670265795</v>
      </c>
      <c r="AC56">
        <v>0.54129026453122098</v>
      </c>
      <c r="AD56">
        <v>-0.118213895136495</v>
      </c>
      <c r="AE56">
        <v>-0.20442129740232801</v>
      </c>
      <c r="AF56">
        <v>-814.52529999999899</v>
      </c>
      <c r="AG56">
        <f t="shared" si="0"/>
        <v>2.3313646615667216</v>
      </c>
      <c r="AH56">
        <f t="shared" si="1"/>
        <v>0.41860292693882162</v>
      </c>
      <c r="AI56">
        <f t="shared" si="2"/>
        <v>0.33960425856052151</v>
      </c>
      <c r="AJ56">
        <f t="shared" si="3"/>
        <v>9584.5</v>
      </c>
      <c r="AK56">
        <f t="shared" si="4"/>
        <v>0.6605485176271455</v>
      </c>
      <c r="AL56">
        <f t="shared" si="5"/>
        <v>0.32821638710810574</v>
      </c>
      <c r="AM56">
        <f t="shared" si="6"/>
        <v>1.0496677553778579</v>
      </c>
      <c r="AN56">
        <f t="shared" si="7"/>
        <v>2.4232100664871695E-2</v>
      </c>
      <c r="AO56">
        <f t="shared" si="8"/>
        <v>-0.29213388580633093</v>
      </c>
      <c r="AP56">
        <f t="shared" si="9"/>
        <v>0.1326984126984127</v>
      </c>
      <c r="AQ56">
        <f t="shared" si="10"/>
        <v>0.46965168866202955</v>
      </c>
      <c r="AR56">
        <f t="shared" si="11"/>
        <v>0.49297823384729311</v>
      </c>
    </row>
    <row r="57" spans="1:44" x14ac:dyDescent="0.25">
      <c r="A57">
        <v>55</v>
      </c>
      <c r="B57">
        <v>-32.579166999999998</v>
      </c>
      <c r="C57">
        <v>27.366667</v>
      </c>
      <c r="D57" s="1">
        <v>41827</v>
      </c>
      <c r="H57">
        <v>339.5</v>
      </c>
      <c r="I57">
        <v>8829</v>
      </c>
      <c r="J57">
        <v>8157</v>
      </c>
      <c r="K57">
        <v>495</v>
      </c>
      <c r="L57">
        <v>9638</v>
      </c>
      <c r="M57">
        <v>138</v>
      </c>
      <c r="O57">
        <v>8390</v>
      </c>
      <c r="P57">
        <v>939.5</v>
      </c>
      <c r="Q57">
        <v>8677</v>
      </c>
      <c r="R57">
        <v>103</v>
      </c>
      <c r="S57">
        <v>8729</v>
      </c>
      <c r="T57">
        <v>12178</v>
      </c>
      <c r="V57">
        <v>11578.5</v>
      </c>
      <c r="W57">
        <v>9874</v>
      </c>
      <c r="Y57">
        <v>21824</v>
      </c>
      <c r="AB57">
        <v>0.15942304945970301</v>
      </c>
      <c r="AC57">
        <v>0.239128882541949</v>
      </c>
      <c r="AD57">
        <v>1.7794686138552999E-3</v>
      </c>
      <c r="AE57">
        <v>-2.5235198787700201E-2</v>
      </c>
      <c r="AF57">
        <v>-2739.61534999999</v>
      </c>
      <c r="AG57">
        <f t="shared" si="0"/>
        <v>2.1060243994466106</v>
      </c>
      <c r="AH57">
        <f t="shared" si="1"/>
        <v>0.18492932885739907</v>
      </c>
      <c r="AI57">
        <f t="shared" si="2"/>
        <v>0.16496867078012148</v>
      </c>
      <c r="AJ57">
        <f t="shared" si="3"/>
        <v>3448</v>
      </c>
      <c r="AK57">
        <f t="shared" si="4"/>
        <v>0.95077188372474952</v>
      </c>
      <c r="AL57">
        <f t="shared" si="5"/>
        <v>0.10448031924541992</v>
      </c>
      <c r="AM57">
        <f t="shared" si="6"/>
        <v>0.98867368897949937</v>
      </c>
      <c r="AN57">
        <f t="shared" si="7"/>
        <v>-5.6954094999430455E-3</v>
      </c>
      <c r="AO57">
        <f t="shared" si="8"/>
        <v>-6.0684182262190522E-2</v>
      </c>
      <c r="AP57">
        <f t="shared" si="9"/>
        <v>7.9454609019927749E-2</v>
      </c>
      <c r="AQ57">
        <f t="shared" si="10"/>
        <v>0.7249958942355067</v>
      </c>
      <c r="AR57">
        <f t="shared" si="11"/>
        <v>0.71678436524880929</v>
      </c>
    </row>
    <row r="58" spans="1:44" x14ac:dyDescent="0.25">
      <c r="A58">
        <v>56</v>
      </c>
      <c r="B58">
        <v>-32.991638889999997</v>
      </c>
      <c r="C58">
        <v>27.64002778</v>
      </c>
      <c r="D58" s="1">
        <v>42275</v>
      </c>
      <c r="H58">
        <v>-9999</v>
      </c>
      <c r="K58">
        <v>-9999</v>
      </c>
      <c r="L58">
        <v>-9999</v>
      </c>
      <c r="M58">
        <v>-9999</v>
      </c>
      <c r="O58">
        <v>-9999</v>
      </c>
      <c r="P58">
        <v>-9999</v>
      </c>
      <c r="Q58">
        <v>-9999</v>
      </c>
      <c r="R58">
        <v>-9999</v>
      </c>
      <c r="Y58">
        <v>1</v>
      </c>
      <c r="AA58">
        <v>-9999</v>
      </c>
    </row>
    <row r="59" spans="1:44" x14ac:dyDescent="0.25">
      <c r="A59">
        <v>57</v>
      </c>
      <c r="B59">
        <v>-34.096389000000002</v>
      </c>
      <c r="C59">
        <v>24.439167000000001</v>
      </c>
      <c r="D59" s="1">
        <v>41331</v>
      </c>
      <c r="H59">
        <v>241</v>
      </c>
      <c r="I59">
        <v>8039.5</v>
      </c>
      <c r="J59">
        <v>7824.5</v>
      </c>
      <c r="K59">
        <v>1210.5</v>
      </c>
      <c r="L59">
        <v>9739</v>
      </c>
      <c r="M59">
        <v>20</v>
      </c>
      <c r="N59">
        <v>46607</v>
      </c>
      <c r="O59">
        <v>9785</v>
      </c>
      <c r="P59">
        <v>2636</v>
      </c>
      <c r="Q59">
        <v>6893</v>
      </c>
      <c r="R59">
        <v>352</v>
      </c>
      <c r="S59">
        <v>8345</v>
      </c>
      <c r="T59">
        <v>14697</v>
      </c>
      <c r="U59">
        <v>46607</v>
      </c>
      <c r="V59">
        <v>10882</v>
      </c>
      <c r="W59">
        <v>8734</v>
      </c>
      <c r="X59">
        <v>1</v>
      </c>
      <c r="Y59">
        <v>5440</v>
      </c>
      <c r="AA59">
        <v>71</v>
      </c>
      <c r="AB59">
        <v>0.292811118685813</v>
      </c>
      <c r="AC59">
        <v>0.43920701939569801</v>
      </c>
      <c r="AD59">
        <v>-8.6866298289216506E-2</v>
      </c>
      <c r="AE59">
        <v>-0.14914578365065001</v>
      </c>
      <c r="AF59">
        <v>-1251.16379999999</v>
      </c>
      <c r="AG59">
        <f t="shared" si="0"/>
        <v>3.9150249926492209</v>
      </c>
      <c r="AH59">
        <f t="shared" si="1"/>
        <v>0.3396585074500828</v>
      </c>
      <c r="AI59">
        <f t="shared" si="2"/>
        <v>0.27567051471226456</v>
      </c>
      <c r="AJ59">
        <f t="shared" si="3"/>
        <v>6351</v>
      </c>
      <c r="AK59">
        <f t="shared" si="4"/>
        <v>0.74042321562223579</v>
      </c>
      <c r="AL59">
        <f t="shared" si="5"/>
        <v>0.25449191242371216</v>
      </c>
      <c r="AM59">
        <f t="shared" si="6"/>
        <v>1.0379998756141551</v>
      </c>
      <c r="AN59">
        <f t="shared" si="7"/>
        <v>1.8645671213647044E-2</v>
      </c>
      <c r="AO59">
        <f t="shared" si="8"/>
        <v>-0.22296803662461862</v>
      </c>
      <c r="AP59">
        <f t="shared" si="9"/>
        <v>0.10950244698205547</v>
      </c>
      <c r="AQ59">
        <f t="shared" si="10"/>
        <v>0.54701639790433421</v>
      </c>
      <c r="AR59">
        <f t="shared" si="11"/>
        <v>0.56780295298360206</v>
      </c>
    </row>
    <row r="60" spans="1:44" x14ac:dyDescent="0.25">
      <c r="A60">
        <v>58</v>
      </c>
      <c r="B60">
        <v>-34.096389000000002</v>
      </c>
      <c r="C60">
        <v>24.439167000000001</v>
      </c>
      <c r="D60" s="1">
        <v>40855</v>
      </c>
      <c r="H60">
        <v>211</v>
      </c>
      <c r="I60">
        <v>8087</v>
      </c>
      <c r="J60">
        <v>7891</v>
      </c>
      <c r="K60">
        <v>565</v>
      </c>
      <c r="L60">
        <v>9739</v>
      </c>
      <c r="M60">
        <v>20</v>
      </c>
      <c r="N60">
        <v>44939</v>
      </c>
      <c r="O60">
        <v>9208.5</v>
      </c>
      <c r="P60">
        <v>1083</v>
      </c>
      <c r="Q60">
        <v>8519</v>
      </c>
      <c r="R60">
        <v>341.5</v>
      </c>
      <c r="S60">
        <v>8332</v>
      </c>
      <c r="T60">
        <v>14338.5</v>
      </c>
      <c r="U60">
        <v>44939</v>
      </c>
      <c r="V60">
        <v>10467.5</v>
      </c>
      <c r="W60">
        <v>8750</v>
      </c>
      <c r="Y60">
        <v>5440</v>
      </c>
      <c r="AA60">
        <v>82.5</v>
      </c>
      <c r="AB60">
        <v>0.27876747452676598</v>
      </c>
      <c r="AC60">
        <v>0.41814188887897902</v>
      </c>
      <c r="AD60">
        <v>-9.0108866222047806E-2</v>
      </c>
      <c r="AE60">
        <v>-0.15605095541401201</v>
      </c>
      <c r="AF60">
        <v>-1062.5219999999999</v>
      </c>
      <c r="AG60">
        <f t="shared" si="0"/>
        <v>4.2480973090513725</v>
      </c>
      <c r="AH60">
        <f t="shared" si="1"/>
        <v>0.32336796330631962</v>
      </c>
      <c r="AI60">
        <f t="shared" si="2"/>
        <v>0.26494783970357955</v>
      </c>
      <c r="AJ60">
        <f t="shared" si="3"/>
        <v>6005.5</v>
      </c>
      <c r="AK60">
        <f t="shared" si="4"/>
        <v>0.73002754820936644</v>
      </c>
      <c r="AL60">
        <f t="shared" si="5"/>
        <v>0.24204690646858826</v>
      </c>
      <c r="AM60">
        <f t="shared" si="6"/>
        <v>1.0302955360455051</v>
      </c>
      <c r="AN60">
        <f t="shared" si="7"/>
        <v>1.4921737011998294E-2</v>
      </c>
      <c r="AO60">
        <f t="shared" si="8"/>
        <v>-0.24056774703787309</v>
      </c>
      <c r="AP60">
        <f t="shared" si="9"/>
        <v>8.9371666449850395E-2</v>
      </c>
      <c r="AQ60">
        <f t="shared" si="10"/>
        <v>0.56400599783798866</v>
      </c>
      <c r="AR60">
        <f t="shared" si="11"/>
        <v>0.58109286187537046</v>
      </c>
    </row>
    <row r="61" spans="1:44" x14ac:dyDescent="0.25">
      <c r="A61">
        <v>59</v>
      </c>
      <c r="B61">
        <v>-32.991638889999997</v>
      </c>
      <c r="C61">
        <v>27.64002778</v>
      </c>
      <c r="D61" s="1">
        <v>40724</v>
      </c>
      <c r="H61">
        <v>219.5</v>
      </c>
      <c r="I61">
        <v>10140</v>
      </c>
      <c r="J61">
        <v>8636</v>
      </c>
      <c r="K61">
        <v>665</v>
      </c>
      <c r="L61">
        <v>9807.5</v>
      </c>
      <c r="M61">
        <v>47</v>
      </c>
      <c r="N61">
        <v>40646.5</v>
      </c>
      <c r="O61">
        <v>7479</v>
      </c>
      <c r="P61">
        <v>1324</v>
      </c>
      <c r="Q61">
        <v>8009.5</v>
      </c>
      <c r="R61">
        <v>819.5</v>
      </c>
      <c r="S61">
        <v>9646</v>
      </c>
      <c r="T61">
        <v>13424.5</v>
      </c>
      <c r="U61">
        <v>40646.5</v>
      </c>
      <c r="V61">
        <v>10982</v>
      </c>
      <c r="W61">
        <v>9259</v>
      </c>
      <c r="Y61">
        <v>5440</v>
      </c>
      <c r="AA61">
        <v>9</v>
      </c>
      <c r="AB61">
        <v>0.139383394512932</v>
      </c>
      <c r="AC61">
        <v>0.209070655633354</v>
      </c>
      <c r="AD61">
        <v>-2.1733341052509601E-2</v>
      </c>
      <c r="AE61">
        <v>-0.100075799479646</v>
      </c>
      <c r="AF61">
        <v>-926.32294999999999</v>
      </c>
      <c r="AG61">
        <f t="shared" si="0"/>
        <v>0.86475172450107951</v>
      </c>
      <c r="AH61">
        <f t="shared" si="1"/>
        <v>0.16168363982336259</v>
      </c>
      <c r="AI61">
        <f t="shared" si="2"/>
        <v>0.1637805855963243</v>
      </c>
      <c r="AJ61">
        <f t="shared" si="3"/>
        <v>3777.5</v>
      </c>
      <c r="AK61">
        <f t="shared" si="4"/>
        <v>0.81805653841856307</v>
      </c>
      <c r="AL61">
        <f t="shared" si="5"/>
        <v>0.18363568232415634</v>
      </c>
      <c r="AM61">
        <f t="shared" si="6"/>
        <v>0.95128205128205123</v>
      </c>
      <c r="AN61">
        <f t="shared" si="7"/>
        <v>-2.4967148488830485E-2</v>
      </c>
      <c r="AO61">
        <f t="shared" si="8"/>
        <v>-0.23315639958682766</v>
      </c>
      <c r="AP61">
        <f t="shared" si="9"/>
        <v>8.5124252754310556E-2</v>
      </c>
      <c r="AQ61">
        <f t="shared" si="10"/>
        <v>0.75533539424187124</v>
      </c>
      <c r="AR61">
        <f t="shared" si="11"/>
        <v>0.7185370032403442</v>
      </c>
    </row>
    <row r="62" spans="1:44" x14ac:dyDescent="0.25">
      <c r="A62">
        <v>60</v>
      </c>
      <c r="B62">
        <v>-32.991638889999997</v>
      </c>
      <c r="C62">
        <v>27.64002778</v>
      </c>
      <c r="D62" s="1">
        <v>40584</v>
      </c>
      <c r="H62">
        <v>263.5</v>
      </c>
      <c r="I62">
        <v>9649.5</v>
      </c>
      <c r="J62">
        <v>8689.5</v>
      </c>
      <c r="K62">
        <v>1385.5</v>
      </c>
      <c r="L62">
        <v>9836.5</v>
      </c>
      <c r="M62">
        <v>47</v>
      </c>
      <c r="N62">
        <v>46108</v>
      </c>
      <c r="O62">
        <v>9245.5</v>
      </c>
      <c r="P62">
        <v>3058</v>
      </c>
      <c r="Q62">
        <v>6093</v>
      </c>
      <c r="R62">
        <v>484</v>
      </c>
      <c r="S62">
        <v>9602</v>
      </c>
      <c r="T62">
        <v>16227</v>
      </c>
      <c r="U62">
        <v>46108</v>
      </c>
      <c r="V62">
        <v>12598.5</v>
      </c>
      <c r="W62">
        <v>9917.5</v>
      </c>
      <c r="Y62">
        <v>5440</v>
      </c>
      <c r="AA62">
        <v>115</v>
      </c>
      <c r="AB62">
        <v>0.25418816300504299</v>
      </c>
      <c r="AC62">
        <v>0.38127487730416898</v>
      </c>
      <c r="AD62">
        <v>-5.6578570747066098E-2</v>
      </c>
      <c r="AE62">
        <v>-0.12587812874017701</v>
      </c>
      <c r="AF62">
        <v>-1583.8128999999899</v>
      </c>
      <c r="AG62">
        <f t="shared" si="0"/>
        <v>1.8365210107496859</v>
      </c>
      <c r="AH62">
        <f t="shared" si="1"/>
        <v>0.29485644592462862</v>
      </c>
      <c r="AI62">
        <f t="shared" si="2"/>
        <v>0.25649463781021331</v>
      </c>
      <c r="AJ62">
        <f t="shared" si="3"/>
        <v>6624</v>
      </c>
      <c r="AK62">
        <f t="shared" si="4"/>
        <v>0.77639119985209837</v>
      </c>
      <c r="AL62">
        <f t="shared" si="5"/>
        <v>0.24133182887414178</v>
      </c>
      <c r="AM62">
        <f t="shared" si="6"/>
        <v>0.99507746515363493</v>
      </c>
      <c r="AN62">
        <f t="shared" si="7"/>
        <v>-2.4673402072565775E-3</v>
      </c>
      <c r="AO62">
        <f t="shared" si="8"/>
        <v>-0.22855568621330458</v>
      </c>
      <c r="AP62">
        <f t="shared" si="9"/>
        <v>0.11907088292769587</v>
      </c>
      <c r="AQ62">
        <f t="shared" si="10"/>
        <v>0.59465705305971528</v>
      </c>
      <c r="AR62">
        <f t="shared" si="11"/>
        <v>0.59172983299439208</v>
      </c>
    </row>
    <row r="63" spans="1:44" x14ac:dyDescent="0.25">
      <c r="A63">
        <v>61</v>
      </c>
      <c r="B63">
        <v>-32.000555560000002</v>
      </c>
      <c r="C63">
        <v>28.581666670000001</v>
      </c>
      <c r="D63" s="1">
        <v>41402</v>
      </c>
      <c r="H63">
        <v>206</v>
      </c>
      <c r="I63">
        <v>11943</v>
      </c>
      <c r="J63">
        <v>9393.5</v>
      </c>
      <c r="K63">
        <v>565.5</v>
      </c>
      <c r="L63">
        <v>9876</v>
      </c>
      <c r="N63">
        <v>41502.5</v>
      </c>
      <c r="O63">
        <v>7888</v>
      </c>
      <c r="P63">
        <v>1090.5</v>
      </c>
      <c r="Q63">
        <v>8395</v>
      </c>
      <c r="R63">
        <v>1026</v>
      </c>
      <c r="S63">
        <v>10945</v>
      </c>
      <c r="T63">
        <v>11016</v>
      </c>
      <c r="U63">
        <v>41502.5</v>
      </c>
      <c r="V63">
        <v>8307</v>
      </c>
      <c r="W63">
        <v>8150</v>
      </c>
      <c r="X63">
        <v>32</v>
      </c>
      <c r="Y63">
        <v>5504</v>
      </c>
      <c r="AA63">
        <v>9</v>
      </c>
      <c r="AB63">
        <v>-4.0376323010583998E-2</v>
      </c>
      <c r="AC63">
        <v>-6.0563165574163198E-2</v>
      </c>
      <c r="AD63">
        <v>-3.9228224646145997E-3</v>
      </c>
      <c r="AE63">
        <v>-0.140195621797857</v>
      </c>
      <c r="AF63">
        <v>1625.1675499999999</v>
      </c>
      <c r="AG63">
        <f t="shared" si="0"/>
        <v>-0.1895899376214337</v>
      </c>
      <c r="AH63">
        <f t="shared" si="1"/>
        <v>-4.683620829333477E-2</v>
      </c>
      <c r="AI63">
        <f t="shared" si="2"/>
        <v>3.2330039615682347E-3</v>
      </c>
      <c r="AJ63">
        <f t="shared" si="3"/>
        <v>70</v>
      </c>
      <c r="AK63">
        <f t="shared" si="4"/>
        <v>0.75408496732026142</v>
      </c>
      <c r="AL63">
        <f t="shared" si="5"/>
        <v>0.1495356360221225</v>
      </c>
      <c r="AM63">
        <f t="shared" si="6"/>
        <v>0.91643640626308298</v>
      </c>
      <c r="AN63">
        <f t="shared" si="7"/>
        <v>-4.3603635092624958E-2</v>
      </c>
      <c r="AO63">
        <f t="shared" si="8"/>
        <v>-0.33709822135036438</v>
      </c>
      <c r="AP63">
        <f t="shared" si="9"/>
        <v>9.5400133681715991E-3</v>
      </c>
      <c r="AQ63">
        <f t="shared" si="10"/>
        <v>1.0841503267973855</v>
      </c>
      <c r="AR63">
        <f t="shared" si="11"/>
        <v>0.99355482933914308</v>
      </c>
    </row>
    <row r="64" spans="1:44" x14ac:dyDescent="0.25">
      <c r="A64">
        <v>62</v>
      </c>
      <c r="B64">
        <v>-32.991638889999997</v>
      </c>
      <c r="C64">
        <v>27.64002778</v>
      </c>
      <c r="D64" s="1">
        <v>41764</v>
      </c>
      <c r="H64">
        <v>218.5</v>
      </c>
      <c r="I64">
        <v>9495.5</v>
      </c>
      <c r="J64">
        <v>8540</v>
      </c>
      <c r="K64">
        <v>735</v>
      </c>
      <c r="L64">
        <v>9840</v>
      </c>
      <c r="M64">
        <v>47</v>
      </c>
      <c r="N64">
        <v>43982</v>
      </c>
      <c r="O64">
        <v>8873.5</v>
      </c>
      <c r="P64">
        <v>1473</v>
      </c>
      <c r="Q64">
        <v>8083</v>
      </c>
      <c r="R64">
        <v>755.5</v>
      </c>
      <c r="S64">
        <v>9488.5</v>
      </c>
      <c r="T64">
        <v>16510</v>
      </c>
      <c r="U64">
        <v>43982</v>
      </c>
      <c r="V64">
        <v>13107.5</v>
      </c>
      <c r="W64">
        <v>10338</v>
      </c>
      <c r="Y64">
        <v>5440</v>
      </c>
      <c r="AA64">
        <v>18</v>
      </c>
      <c r="AB64">
        <v>0.26973140297244802</v>
      </c>
      <c r="AC64">
        <v>0.404589325540259</v>
      </c>
      <c r="AD64">
        <v>-5.1350387173944897E-2</v>
      </c>
      <c r="AE64">
        <v>-0.114881404574997</v>
      </c>
      <c r="AF64">
        <v>-2136.89724999999</v>
      </c>
      <c r="AG64">
        <f t="shared" si="0"/>
        <v>1.8588350646597414</v>
      </c>
      <c r="AH64">
        <f t="shared" si="1"/>
        <v>0.31288650239986215</v>
      </c>
      <c r="AI64">
        <f t="shared" si="2"/>
        <v>0.27007327345808413</v>
      </c>
      <c r="AJ64">
        <f t="shared" si="3"/>
        <v>7020.5</v>
      </c>
      <c r="AK64">
        <f t="shared" si="4"/>
        <v>0.79391278013325262</v>
      </c>
      <c r="AL64">
        <f t="shared" si="5"/>
        <v>0.22988676996424315</v>
      </c>
      <c r="AM64">
        <f t="shared" si="6"/>
        <v>0.99926280869885731</v>
      </c>
      <c r="AN64">
        <f t="shared" si="7"/>
        <v>-3.687315634218289E-4</v>
      </c>
      <c r="AO64">
        <f t="shared" si="8"/>
        <v>-0.20682495501982734</v>
      </c>
      <c r="AP64">
        <f t="shared" si="9"/>
        <v>0.11812501332878378</v>
      </c>
      <c r="AQ64">
        <f t="shared" si="10"/>
        <v>0.57513628104179282</v>
      </c>
      <c r="AR64">
        <f t="shared" si="11"/>
        <v>0.57471229557843728</v>
      </c>
    </row>
    <row r="65" spans="1:44" x14ac:dyDescent="0.25">
      <c r="A65">
        <v>63</v>
      </c>
      <c r="B65">
        <v>-33.731110999999999</v>
      </c>
      <c r="C65">
        <v>24.618333</v>
      </c>
      <c r="D65" s="1">
        <v>41696</v>
      </c>
      <c r="H65">
        <v>217</v>
      </c>
      <c r="I65">
        <v>8260</v>
      </c>
      <c r="J65">
        <v>7742.5</v>
      </c>
      <c r="K65">
        <v>938</v>
      </c>
      <c r="L65">
        <v>9712</v>
      </c>
      <c r="M65">
        <v>61</v>
      </c>
      <c r="O65">
        <v>8779.5</v>
      </c>
      <c r="P65">
        <v>1921.5</v>
      </c>
      <c r="Q65">
        <v>7511.5</v>
      </c>
      <c r="R65">
        <v>556.5</v>
      </c>
      <c r="S65">
        <v>8481.5</v>
      </c>
      <c r="T65">
        <v>13483</v>
      </c>
      <c r="V65">
        <v>10416</v>
      </c>
      <c r="W65">
        <v>8946</v>
      </c>
      <c r="Y65">
        <v>21824</v>
      </c>
      <c r="AB65">
        <v>0.240215241686979</v>
      </c>
      <c r="AC65">
        <v>0.36031457677006901</v>
      </c>
      <c r="AD65">
        <v>-6.3894841046075901E-2</v>
      </c>
      <c r="AE65">
        <v>-0.12833172936106099</v>
      </c>
      <c r="AF65">
        <v>-1342.8407999999999</v>
      </c>
      <c r="AG65">
        <f t="shared" si="0"/>
        <v>2.6244912315964024</v>
      </c>
      <c r="AH65">
        <f t="shared" si="1"/>
        <v>0.27864762987532626</v>
      </c>
      <c r="AI65">
        <f t="shared" si="2"/>
        <v>0.2277083475608368</v>
      </c>
      <c r="AJ65">
        <f t="shared" si="3"/>
        <v>5000.5</v>
      </c>
      <c r="AK65">
        <f t="shared" si="4"/>
        <v>0.77252836905733147</v>
      </c>
      <c r="AL65">
        <f t="shared" si="5"/>
        <v>0.20228275892817335</v>
      </c>
      <c r="AM65">
        <f t="shared" si="6"/>
        <v>1.02681598062954</v>
      </c>
      <c r="AN65">
        <f t="shared" si="7"/>
        <v>1.3230594630110802E-2</v>
      </c>
      <c r="AO65">
        <f t="shared" si="8"/>
        <v>-0.20135596743975037</v>
      </c>
      <c r="AP65">
        <f t="shared" si="9"/>
        <v>7.5921908893709325E-2</v>
      </c>
      <c r="AQ65">
        <f t="shared" si="10"/>
        <v>0.61262330341912041</v>
      </c>
      <c r="AR65">
        <f t="shared" si="11"/>
        <v>0.62905139805681232</v>
      </c>
    </row>
    <row r="66" spans="1:44" x14ac:dyDescent="0.25">
      <c r="A66">
        <v>64</v>
      </c>
      <c r="B66">
        <v>-31.903055999999999</v>
      </c>
      <c r="C66">
        <v>25.482222</v>
      </c>
      <c r="D66" s="1">
        <v>40610</v>
      </c>
      <c r="H66">
        <v>155.5</v>
      </c>
      <c r="I66">
        <v>9797</v>
      </c>
      <c r="J66">
        <v>8557</v>
      </c>
      <c r="K66">
        <v>214</v>
      </c>
      <c r="L66">
        <v>9712</v>
      </c>
      <c r="M66">
        <v>80</v>
      </c>
      <c r="N66">
        <v>41183</v>
      </c>
      <c r="O66">
        <v>7739</v>
      </c>
      <c r="P66">
        <v>361</v>
      </c>
      <c r="Q66">
        <v>9424.5</v>
      </c>
      <c r="R66">
        <v>3057</v>
      </c>
      <c r="S66">
        <v>9294</v>
      </c>
      <c r="T66">
        <v>14525.5</v>
      </c>
      <c r="U66">
        <v>41183</v>
      </c>
      <c r="V66">
        <v>12535</v>
      </c>
      <c r="W66">
        <v>10457</v>
      </c>
      <c r="Y66">
        <v>5440</v>
      </c>
      <c r="AA66">
        <v>9</v>
      </c>
      <c r="AB66">
        <v>0.19440846952410301</v>
      </c>
      <c r="AC66">
        <v>0.291606709698639</v>
      </c>
      <c r="AD66">
        <v>-1.65255590174944E-2</v>
      </c>
      <c r="AE66">
        <v>-7.3557399161138903E-2</v>
      </c>
      <c r="AF66">
        <v>-2396.6439500000001</v>
      </c>
      <c r="AG66">
        <f t="shared" si="0"/>
        <v>1.2946281896834957</v>
      </c>
      <c r="AH66">
        <f t="shared" si="1"/>
        <v>0.22551234116663224</v>
      </c>
      <c r="AI66">
        <f t="shared" si="2"/>
        <v>0.21963097462163353</v>
      </c>
      <c r="AJ66">
        <f t="shared" si="3"/>
        <v>5230.5</v>
      </c>
      <c r="AK66">
        <f t="shared" si="4"/>
        <v>0.86296513028811406</v>
      </c>
      <c r="AL66">
        <f t="shared" si="5"/>
        <v>0.16285399779845891</v>
      </c>
      <c r="AM66">
        <f t="shared" si="6"/>
        <v>0.94865775237317551</v>
      </c>
      <c r="AN66">
        <f t="shared" si="7"/>
        <v>-2.6347493583363888E-2</v>
      </c>
      <c r="AO66">
        <f t="shared" si="8"/>
        <v>-0.19115580795161047</v>
      </c>
      <c r="AP66">
        <f t="shared" si="9"/>
        <v>9.0379262352122472E-2</v>
      </c>
      <c r="AQ66">
        <f t="shared" si="10"/>
        <v>0.67446903721042306</v>
      </c>
      <c r="AR66">
        <f t="shared" si="11"/>
        <v>0.63984028088533962</v>
      </c>
    </row>
    <row r="67" spans="1:44" x14ac:dyDescent="0.25">
      <c r="A67">
        <v>65</v>
      </c>
      <c r="B67">
        <v>-33.202778000000002</v>
      </c>
      <c r="C67">
        <v>24.235555999999999</v>
      </c>
      <c r="D67" s="1">
        <v>40693</v>
      </c>
      <c r="H67">
        <v>-9999</v>
      </c>
      <c r="K67">
        <v>-9999</v>
      </c>
      <c r="L67">
        <v>-9999</v>
      </c>
      <c r="M67">
        <v>-9999</v>
      </c>
      <c r="O67">
        <v>-9999</v>
      </c>
      <c r="P67">
        <v>-9999</v>
      </c>
      <c r="Q67">
        <v>-9999</v>
      </c>
      <c r="R67">
        <v>-9999</v>
      </c>
      <c r="Y67">
        <v>1</v>
      </c>
      <c r="AA67">
        <v>-9999</v>
      </c>
    </row>
    <row r="68" spans="1:44" x14ac:dyDescent="0.25">
      <c r="A68">
        <v>66</v>
      </c>
      <c r="B68">
        <v>-32.991638889999997</v>
      </c>
      <c r="C68">
        <v>27.64002778</v>
      </c>
      <c r="D68" s="1">
        <v>42048</v>
      </c>
      <c r="H68">
        <v>682.5</v>
      </c>
      <c r="I68">
        <v>13615</v>
      </c>
      <c r="J68">
        <v>11216</v>
      </c>
      <c r="K68">
        <v>1340</v>
      </c>
      <c r="L68">
        <v>9804.5</v>
      </c>
      <c r="M68">
        <v>47</v>
      </c>
      <c r="O68">
        <v>8825.5</v>
      </c>
      <c r="P68">
        <v>2922</v>
      </c>
      <c r="Q68">
        <v>6367</v>
      </c>
      <c r="S68">
        <v>13553</v>
      </c>
      <c r="T68">
        <v>21308</v>
      </c>
      <c r="V68">
        <v>18512.5</v>
      </c>
      <c r="W68">
        <v>16452</v>
      </c>
      <c r="Y68">
        <v>22280</v>
      </c>
      <c r="AB68">
        <v>0.22028462617759001</v>
      </c>
      <c r="AC68">
        <v>0.33042220854152599</v>
      </c>
      <c r="AD68">
        <v>-6.1328816810127997E-3</v>
      </c>
      <c r="AE68">
        <v>-7.0202533870744904E-2</v>
      </c>
      <c r="AF68">
        <v>-4577.6284500000002</v>
      </c>
      <c r="AG68">
        <f t="shared" ref="AG67:AG130" si="12">(2.5*(T68-I68))/(T68+6*I68-7.5*J68+1)</f>
        <v>1.0187245087133852</v>
      </c>
      <c r="AH68">
        <f t="shared" ref="AH67:AH130" si="13">(1.16*(T68-I68))/(T68+I68+0.16)</f>
        <v>0.25552899565789572</v>
      </c>
      <c r="AI68">
        <f t="shared" ref="AI67:AI130" si="14">(T68-S68)/(T68+S68)</f>
        <v>0.22245489228650928</v>
      </c>
      <c r="AJ68">
        <f t="shared" ref="AJ67:AJ130" si="15">(T68-S68)-1</f>
        <v>7754</v>
      </c>
      <c r="AK68">
        <f t="shared" ref="AK67:AK130" si="16">V68/T68</f>
        <v>0.86880514360803451</v>
      </c>
      <c r="AL68">
        <f t="shared" ref="AL67:AL130" si="17">(T68-W68)/(T68+W68)</f>
        <v>0.12860169491525425</v>
      </c>
      <c r="AM68">
        <f t="shared" ref="AM67:AM130" si="18">S68/I68</f>
        <v>0.99544619904517073</v>
      </c>
      <c r="AN68">
        <f t="shared" ref="AN67:AN130" si="19">(S68-I68)/(S68+I68)</f>
        <v>-2.2820965842167257E-3</v>
      </c>
      <c r="AO68">
        <f t="shared" ref="AO67:AO130" si="20">((V68/T68)-(I68/S68))</f>
        <v>-0.13576948931456567</v>
      </c>
      <c r="AP68">
        <f t="shared" ref="AP67:AP130" si="21">(V68-W68)/(V68+W68)</f>
        <v>5.8931201647385204E-2</v>
      </c>
      <c r="AQ68">
        <f t="shared" ref="AQ67:AQ130" si="22">I68/T68</f>
        <v>0.63896189224704336</v>
      </c>
      <c r="AR68">
        <f t="shared" ref="AR67:AR130" si="23">S68/T68</f>
        <v>0.63605218697202925</v>
      </c>
    </row>
    <row r="69" spans="1:44" x14ac:dyDescent="0.25">
      <c r="A69">
        <v>67</v>
      </c>
      <c r="B69">
        <v>-32.515278000000002</v>
      </c>
      <c r="C69">
        <v>28.015556</v>
      </c>
      <c r="D69" s="1">
        <v>42116</v>
      </c>
      <c r="H69">
        <v>568</v>
      </c>
      <c r="I69">
        <v>8852.5</v>
      </c>
      <c r="J69">
        <v>8062.5</v>
      </c>
      <c r="K69">
        <v>1280</v>
      </c>
      <c r="L69">
        <v>9780.5</v>
      </c>
      <c r="M69">
        <v>60</v>
      </c>
      <c r="O69">
        <v>7565</v>
      </c>
      <c r="P69">
        <v>2773</v>
      </c>
      <c r="Q69">
        <v>6132</v>
      </c>
      <c r="R69">
        <v>26.5</v>
      </c>
      <c r="S69">
        <v>8901</v>
      </c>
      <c r="T69">
        <v>11649.5</v>
      </c>
      <c r="V69">
        <v>10654</v>
      </c>
      <c r="W69">
        <v>9206</v>
      </c>
      <c r="Y69">
        <v>21824</v>
      </c>
      <c r="AB69">
        <v>0.136425714564432</v>
      </c>
      <c r="AC69">
        <v>0.20463358127057599</v>
      </c>
      <c r="AD69">
        <v>-5.2398740390375998E-3</v>
      </c>
      <c r="AE69">
        <v>-4.4634250229784497E-2</v>
      </c>
      <c r="AF69">
        <v>-1929.79575</v>
      </c>
      <c r="AG69">
        <f t="shared" si="12"/>
        <v>1.6273927968813637</v>
      </c>
      <c r="AH69">
        <f t="shared" si="13"/>
        <v>0.15825259387303581</v>
      </c>
      <c r="AI69">
        <f t="shared" si="14"/>
        <v>0.13374370453273643</v>
      </c>
      <c r="AJ69">
        <f t="shared" si="15"/>
        <v>2747.5</v>
      </c>
      <c r="AK69">
        <f t="shared" si="16"/>
        <v>0.91454568865616548</v>
      </c>
      <c r="AL69">
        <f t="shared" si="17"/>
        <v>0.11716333820814653</v>
      </c>
      <c r="AM69">
        <f t="shared" si="18"/>
        <v>1.005478678339452</v>
      </c>
      <c r="AN69">
        <f t="shared" si="19"/>
        <v>2.7318556904272397E-3</v>
      </c>
      <c r="AO69">
        <f t="shared" si="20"/>
        <v>-8.0005485369224916E-2</v>
      </c>
      <c r="AP69">
        <f t="shared" si="21"/>
        <v>7.2910372608257806E-2</v>
      </c>
      <c r="AQ69">
        <f t="shared" si="22"/>
        <v>0.7599038585347011</v>
      </c>
      <c r="AR69">
        <f t="shared" si="23"/>
        <v>0.7640671273445212</v>
      </c>
    </row>
    <row r="70" spans="1:44" x14ac:dyDescent="0.25">
      <c r="A70">
        <v>68</v>
      </c>
      <c r="B70">
        <v>-34.096389000000002</v>
      </c>
      <c r="C70">
        <v>24.439167000000001</v>
      </c>
      <c r="D70" s="1">
        <v>41359</v>
      </c>
      <c r="H70">
        <v>241</v>
      </c>
      <c r="I70">
        <v>8039.5</v>
      </c>
      <c r="J70">
        <v>7824.5</v>
      </c>
      <c r="K70">
        <v>1210.5</v>
      </c>
      <c r="L70">
        <v>9739</v>
      </c>
      <c r="M70">
        <v>20</v>
      </c>
      <c r="N70">
        <v>46607</v>
      </c>
      <c r="O70">
        <v>9785</v>
      </c>
      <c r="P70">
        <v>2636</v>
      </c>
      <c r="Q70">
        <v>6893</v>
      </c>
      <c r="R70">
        <v>352</v>
      </c>
      <c r="S70">
        <v>8345</v>
      </c>
      <c r="T70">
        <v>14697</v>
      </c>
      <c r="U70">
        <v>46607</v>
      </c>
      <c r="V70">
        <v>10882</v>
      </c>
      <c r="W70">
        <v>8734</v>
      </c>
      <c r="X70">
        <v>1</v>
      </c>
      <c r="Y70">
        <v>5440</v>
      </c>
      <c r="AA70">
        <v>71</v>
      </c>
      <c r="AB70">
        <v>0.292811118685813</v>
      </c>
      <c r="AC70">
        <v>0.43920701939569801</v>
      </c>
      <c r="AD70">
        <v>-8.6866298289216506E-2</v>
      </c>
      <c r="AE70">
        <v>-0.14914578365065001</v>
      </c>
      <c r="AF70">
        <v>-1251.16379999999</v>
      </c>
      <c r="AG70">
        <f t="shared" si="12"/>
        <v>3.9150249926492209</v>
      </c>
      <c r="AH70">
        <f t="shared" si="13"/>
        <v>0.3396585074500828</v>
      </c>
      <c r="AI70">
        <f t="shared" si="14"/>
        <v>0.27567051471226456</v>
      </c>
      <c r="AJ70">
        <f t="shared" si="15"/>
        <v>6351</v>
      </c>
      <c r="AK70">
        <f t="shared" si="16"/>
        <v>0.74042321562223579</v>
      </c>
      <c r="AL70">
        <f t="shared" si="17"/>
        <v>0.25449191242371216</v>
      </c>
      <c r="AM70">
        <f t="shared" si="18"/>
        <v>1.0379998756141551</v>
      </c>
      <c r="AN70">
        <f t="shared" si="19"/>
        <v>1.8645671213647044E-2</v>
      </c>
      <c r="AO70">
        <f t="shared" si="20"/>
        <v>-0.22296803662461862</v>
      </c>
      <c r="AP70">
        <f t="shared" si="21"/>
        <v>0.10950244698205547</v>
      </c>
      <c r="AQ70">
        <f t="shared" si="22"/>
        <v>0.54701639790433421</v>
      </c>
      <c r="AR70">
        <f t="shared" si="23"/>
        <v>0.56780295298360206</v>
      </c>
    </row>
    <row r="71" spans="1:44" x14ac:dyDescent="0.25">
      <c r="A71">
        <v>69</v>
      </c>
      <c r="B71">
        <v>-32.086390000000002</v>
      </c>
      <c r="C71">
        <v>25.575559999999999</v>
      </c>
      <c r="D71" s="1">
        <v>41614</v>
      </c>
      <c r="H71">
        <v>202</v>
      </c>
      <c r="I71">
        <v>11529</v>
      </c>
      <c r="J71">
        <v>9316</v>
      </c>
      <c r="K71">
        <v>419.5</v>
      </c>
      <c r="L71">
        <v>9770</v>
      </c>
      <c r="M71">
        <v>49</v>
      </c>
      <c r="O71">
        <v>9605.5</v>
      </c>
      <c r="P71">
        <v>769.5</v>
      </c>
      <c r="Q71">
        <v>8898</v>
      </c>
      <c r="R71">
        <v>999</v>
      </c>
      <c r="S71">
        <v>10869</v>
      </c>
      <c r="T71">
        <v>16012</v>
      </c>
      <c r="V71">
        <v>13317</v>
      </c>
      <c r="W71">
        <v>10685.5</v>
      </c>
      <c r="Y71">
        <v>21824</v>
      </c>
      <c r="AB71">
        <v>0.16277549834791699</v>
      </c>
      <c r="AC71">
        <v>0.244158814879363</v>
      </c>
      <c r="AD71">
        <v>-9.6065691393949007E-3</v>
      </c>
      <c r="AE71">
        <v>-9.1888574448498003E-2</v>
      </c>
      <c r="AF71">
        <v>-1556.8679499999901</v>
      </c>
      <c r="AG71">
        <f t="shared" si="12"/>
        <v>0.73170333616243388</v>
      </c>
      <c r="AH71">
        <f t="shared" si="13"/>
        <v>0.18881848113877556</v>
      </c>
      <c r="AI71">
        <f t="shared" si="14"/>
        <v>0.19132472750269708</v>
      </c>
      <c r="AJ71">
        <f t="shared" si="15"/>
        <v>5142</v>
      </c>
      <c r="AK71">
        <f t="shared" si="16"/>
        <v>0.83168873344991257</v>
      </c>
      <c r="AL71">
        <f t="shared" si="17"/>
        <v>0.19951306302088209</v>
      </c>
      <c r="AM71">
        <f t="shared" si="18"/>
        <v>0.94275305750715588</v>
      </c>
      <c r="AN71">
        <f t="shared" si="19"/>
        <v>-2.946691668899009E-2</v>
      </c>
      <c r="AO71">
        <f t="shared" si="20"/>
        <v>-0.22903442415428277</v>
      </c>
      <c r="AP71">
        <f t="shared" si="21"/>
        <v>0.10963441308197062</v>
      </c>
      <c r="AQ71">
        <f t="shared" si="22"/>
        <v>0.72002248313764672</v>
      </c>
      <c r="AR71">
        <f t="shared" si="23"/>
        <v>0.67880339745191109</v>
      </c>
    </row>
    <row r="72" spans="1:44" x14ac:dyDescent="0.25">
      <c r="A72">
        <v>70</v>
      </c>
      <c r="B72">
        <v>-31.905000000000001</v>
      </c>
      <c r="C72">
        <v>25.43</v>
      </c>
      <c r="D72" s="1">
        <v>41758</v>
      </c>
      <c r="H72">
        <v>223</v>
      </c>
      <c r="I72">
        <v>9411</v>
      </c>
      <c r="J72">
        <v>8207</v>
      </c>
      <c r="K72">
        <v>327</v>
      </c>
      <c r="L72">
        <v>9663.5</v>
      </c>
      <c r="M72">
        <v>82</v>
      </c>
      <c r="O72">
        <v>7860</v>
      </c>
      <c r="P72">
        <v>590</v>
      </c>
      <c r="Q72">
        <v>9126</v>
      </c>
      <c r="R72">
        <v>728</v>
      </c>
      <c r="S72">
        <v>9263.5</v>
      </c>
      <c r="T72">
        <v>12888</v>
      </c>
      <c r="V72">
        <v>11584</v>
      </c>
      <c r="W72">
        <v>10126</v>
      </c>
      <c r="Y72">
        <v>21824</v>
      </c>
      <c r="AB72">
        <v>0.155926274720839</v>
      </c>
      <c r="AC72">
        <v>0.23388416780645299</v>
      </c>
      <c r="AD72">
        <v>-2.375861249703E-3</v>
      </c>
      <c r="AE72">
        <v>-5.3285387381497198E-2</v>
      </c>
      <c r="AF72">
        <v>-2312.43705</v>
      </c>
      <c r="AG72">
        <f t="shared" si="12"/>
        <v>1.1140660044857418</v>
      </c>
      <c r="AH72">
        <f t="shared" si="13"/>
        <v>0.18087318087318086</v>
      </c>
      <c r="AI72">
        <f t="shared" si="14"/>
        <v>0.16362323093244249</v>
      </c>
      <c r="AJ72">
        <f t="shared" si="15"/>
        <v>3623.5</v>
      </c>
      <c r="AK72">
        <f t="shared" si="16"/>
        <v>0.89882060831781507</v>
      </c>
      <c r="AL72">
        <f t="shared" si="17"/>
        <v>0.12001390457982097</v>
      </c>
      <c r="AM72">
        <f t="shared" si="18"/>
        <v>0.98432685155668898</v>
      </c>
      <c r="AN72">
        <f t="shared" si="19"/>
        <v>-7.898471177273823E-3</v>
      </c>
      <c r="AO72">
        <f t="shared" si="20"/>
        <v>-0.11710209908219571</v>
      </c>
      <c r="AP72">
        <f t="shared" si="21"/>
        <v>6.7157991708889919E-2</v>
      </c>
      <c r="AQ72">
        <f t="shared" si="22"/>
        <v>0.73021415270018619</v>
      </c>
      <c r="AR72">
        <f t="shared" si="23"/>
        <v>0.71876939788950966</v>
      </c>
    </row>
    <row r="73" spans="1:44" x14ac:dyDescent="0.25">
      <c r="A73">
        <v>71</v>
      </c>
      <c r="B73">
        <v>-32.043332999999997</v>
      </c>
      <c r="C73">
        <v>27.822778</v>
      </c>
      <c r="D73" s="1">
        <v>40644</v>
      </c>
      <c r="H73">
        <v>370</v>
      </c>
      <c r="I73">
        <v>9802</v>
      </c>
      <c r="J73">
        <v>8439</v>
      </c>
      <c r="K73">
        <v>445</v>
      </c>
      <c r="L73">
        <v>9699</v>
      </c>
      <c r="M73">
        <v>39</v>
      </c>
      <c r="N73">
        <v>41686</v>
      </c>
      <c r="O73">
        <v>7851</v>
      </c>
      <c r="P73">
        <v>831</v>
      </c>
      <c r="Q73">
        <v>8736</v>
      </c>
      <c r="R73">
        <v>60.5</v>
      </c>
      <c r="S73">
        <v>9356.5</v>
      </c>
      <c r="T73">
        <v>13489.5</v>
      </c>
      <c r="U73">
        <v>41686</v>
      </c>
      <c r="V73">
        <v>11504.5</v>
      </c>
      <c r="W73">
        <v>9696.5</v>
      </c>
      <c r="Y73">
        <v>5440</v>
      </c>
      <c r="AA73">
        <v>9</v>
      </c>
      <c r="AB73">
        <v>0.15831955863727101</v>
      </c>
      <c r="AC73">
        <v>0.23747424008243101</v>
      </c>
      <c r="AD73">
        <v>-1.43864924251185E-2</v>
      </c>
      <c r="AE73">
        <v>-7.9419060574537806E-2</v>
      </c>
      <c r="AF73">
        <v>-1673.3474000000001</v>
      </c>
      <c r="AG73">
        <f t="shared" si="12"/>
        <v>1.0231687014428412</v>
      </c>
      <c r="AH73">
        <f t="shared" si="13"/>
        <v>0.18364942644706303</v>
      </c>
      <c r="AI73">
        <f t="shared" si="14"/>
        <v>0.18090694213429045</v>
      </c>
      <c r="AJ73">
        <f t="shared" si="15"/>
        <v>4132</v>
      </c>
      <c r="AK73">
        <f t="shared" si="16"/>
        <v>0.85284851180547838</v>
      </c>
      <c r="AL73">
        <f t="shared" si="17"/>
        <v>0.16359009747261277</v>
      </c>
      <c r="AM73">
        <f t="shared" si="18"/>
        <v>0.95455009181799633</v>
      </c>
      <c r="AN73">
        <f t="shared" si="19"/>
        <v>-2.3253386225435185E-2</v>
      </c>
      <c r="AO73">
        <f t="shared" si="20"/>
        <v>-0.19476544640539106</v>
      </c>
      <c r="AP73">
        <f t="shared" si="21"/>
        <v>8.5278996273760677E-2</v>
      </c>
      <c r="AQ73">
        <f t="shared" si="22"/>
        <v>0.7266392379257941</v>
      </c>
      <c r="AR73">
        <f t="shared" si="23"/>
        <v>0.69361355128062563</v>
      </c>
    </row>
    <row r="74" spans="1:44" x14ac:dyDescent="0.25">
      <c r="A74">
        <v>72</v>
      </c>
      <c r="B74">
        <v>-32.043332999999997</v>
      </c>
      <c r="C74">
        <v>27.822778</v>
      </c>
      <c r="D74" s="1">
        <v>41232</v>
      </c>
      <c r="H74">
        <v>-9999</v>
      </c>
      <c r="K74">
        <v>-4656.5</v>
      </c>
      <c r="L74">
        <v>-9999</v>
      </c>
      <c r="M74">
        <v>-9999</v>
      </c>
      <c r="O74">
        <v>-69.5</v>
      </c>
      <c r="P74">
        <v>-4328</v>
      </c>
      <c r="Q74">
        <v>-849</v>
      </c>
      <c r="R74">
        <v>-9999</v>
      </c>
      <c r="Y74">
        <v>1</v>
      </c>
      <c r="AA74">
        <v>-9999</v>
      </c>
    </row>
    <row r="75" spans="1:44" x14ac:dyDescent="0.25">
      <c r="A75">
        <v>73</v>
      </c>
      <c r="B75">
        <v>-32.605277999999998</v>
      </c>
      <c r="C75">
        <v>25.885000000000002</v>
      </c>
      <c r="D75" s="1">
        <v>41698</v>
      </c>
      <c r="H75">
        <v>180</v>
      </c>
      <c r="I75">
        <v>10198.5</v>
      </c>
      <c r="J75">
        <v>8548</v>
      </c>
      <c r="K75">
        <v>1104</v>
      </c>
      <c r="L75">
        <v>9703.5</v>
      </c>
      <c r="M75">
        <v>64</v>
      </c>
      <c r="O75">
        <v>10189</v>
      </c>
      <c r="P75">
        <v>2279</v>
      </c>
      <c r="Q75">
        <v>7304</v>
      </c>
      <c r="R75">
        <v>2069</v>
      </c>
      <c r="S75">
        <v>9950</v>
      </c>
      <c r="T75">
        <v>16734.5</v>
      </c>
      <c r="V75">
        <v>14409.5</v>
      </c>
      <c r="W75">
        <v>11808</v>
      </c>
      <c r="Y75">
        <v>21824</v>
      </c>
      <c r="AB75">
        <v>0.24267627074592499</v>
      </c>
      <c r="AC75">
        <v>0.36400764846752098</v>
      </c>
      <c r="AD75">
        <v>-1.35196079413916E-2</v>
      </c>
      <c r="AE75">
        <v>-7.4653223734908805E-2</v>
      </c>
      <c r="AF75">
        <v>-3334.1588499999998</v>
      </c>
      <c r="AG75">
        <f t="shared" si="12"/>
        <v>1.182643940216408</v>
      </c>
      <c r="AH75">
        <f t="shared" si="13"/>
        <v>0.2815028017507043</v>
      </c>
      <c r="AI75">
        <f t="shared" si="14"/>
        <v>0.25424872116771907</v>
      </c>
      <c r="AJ75">
        <f t="shared" si="15"/>
        <v>6783.5</v>
      </c>
      <c r="AK75">
        <f t="shared" si="16"/>
        <v>0.86106546356329738</v>
      </c>
      <c r="AL75">
        <f t="shared" si="17"/>
        <v>0.17260225978803539</v>
      </c>
      <c r="AM75">
        <f t="shared" si="18"/>
        <v>0.97563367161837522</v>
      </c>
      <c r="AN75">
        <f t="shared" si="19"/>
        <v>-1.2333424324391393E-2</v>
      </c>
      <c r="AO75">
        <f t="shared" si="20"/>
        <v>-0.16390941080856181</v>
      </c>
      <c r="AP75">
        <f t="shared" si="21"/>
        <v>9.9227615142557457E-2</v>
      </c>
      <c r="AQ75">
        <f t="shared" si="22"/>
        <v>0.6094296214407362</v>
      </c>
      <c r="AR75">
        <f t="shared" si="23"/>
        <v>0.59458005915922196</v>
      </c>
    </row>
    <row r="76" spans="1:44" x14ac:dyDescent="0.25">
      <c r="A76">
        <v>74</v>
      </c>
      <c r="B76">
        <v>-33.001666999999998</v>
      </c>
      <c r="C76">
        <v>25.161389</v>
      </c>
      <c r="D76" s="1">
        <v>41668</v>
      </c>
      <c r="H76">
        <v>176</v>
      </c>
      <c r="I76">
        <v>11698.5</v>
      </c>
      <c r="J76">
        <v>9465</v>
      </c>
      <c r="K76">
        <v>1048</v>
      </c>
      <c r="L76">
        <v>9715</v>
      </c>
      <c r="M76">
        <v>52</v>
      </c>
      <c r="N76">
        <v>48756.5</v>
      </c>
      <c r="O76">
        <v>10455</v>
      </c>
      <c r="P76">
        <v>2162</v>
      </c>
      <c r="Q76">
        <v>7310</v>
      </c>
      <c r="R76">
        <v>3826</v>
      </c>
      <c r="S76">
        <v>10804</v>
      </c>
      <c r="T76">
        <v>14188.5</v>
      </c>
      <c r="U76">
        <v>48756.5</v>
      </c>
      <c r="V76">
        <v>16741.5</v>
      </c>
      <c r="W76">
        <v>14415</v>
      </c>
      <c r="Y76">
        <v>5440</v>
      </c>
      <c r="AA76">
        <v>8</v>
      </c>
      <c r="AB76">
        <v>9.6187275466450298E-2</v>
      </c>
      <c r="AC76">
        <v>0.14427812650893199</v>
      </c>
      <c r="AD76">
        <v>9.1882864464856398E-2</v>
      </c>
      <c r="AE76">
        <v>8.2541222114451904E-2</v>
      </c>
      <c r="AF76">
        <v>-6250.29385</v>
      </c>
      <c r="AG76">
        <f t="shared" si="12"/>
        <v>0.4647950421862167</v>
      </c>
      <c r="AH76">
        <f t="shared" si="13"/>
        <v>0.11157654991895595</v>
      </c>
      <c r="AI76">
        <f t="shared" si="14"/>
        <v>0.13542062618785636</v>
      </c>
      <c r="AJ76">
        <f t="shared" si="15"/>
        <v>3383.5</v>
      </c>
      <c r="AK76">
        <f t="shared" si="16"/>
        <v>1.1799344539591923</v>
      </c>
      <c r="AL76">
        <f t="shared" si="17"/>
        <v>-7.9186113587498032E-3</v>
      </c>
      <c r="AM76">
        <f t="shared" si="18"/>
        <v>0.92353720562465269</v>
      </c>
      <c r="AN76">
        <f t="shared" si="19"/>
        <v>-3.9751138762359736E-2</v>
      </c>
      <c r="AO76">
        <f t="shared" si="20"/>
        <v>9.7141044110987895E-2</v>
      </c>
      <c r="AP76">
        <f t="shared" si="21"/>
        <v>7.4671416879302871E-2</v>
      </c>
      <c r="AQ76">
        <f t="shared" si="22"/>
        <v>0.82450576170842582</v>
      </c>
      <c r="AR76">
        <f t="shared" si="23"/>
        <v>0.76146174718962545</v>
      </c>
    </row>
    <row r="77" spans="1:44" x14ac:dyDescent="0.25">
      <c r="A77">
        <v>75</v>
      </c>
      <c r="B77">
        <v>-33.185361110000002</v>
      </c>
      <c r="C77">
        <v>27.390750000000001</v>
      </c>
      <c r="D77" s="1">
        <v>42020</v>
      </c>
      <c r="H77">
        <v>647.5</v>
      </c>
      <c r="I77">
        <v>9330.5</v>
      </c>
      <c r="J77">
        <v>8409</v>
      </c>
      <c r="K77">
        <v>1442</v>
      </c>
      <c r="L77">
        <v>9718</v>
      </c>
      <c r="M77">
        <v>80</v>
      </c>
      <c r="O77">
        <v>9275</v>
      </c>
      <c r="P77">
        <v>3177</v>
      </c>
      <c r="Q77">
        <v>6065</v>
      </c>
      <c r="R77">
        <v>6</v>
      </c>
      <c r="S77">
        <v>9791.5</v>
      </c>
      <c r="T77">
        <v>20077</v>
      </c>
      <c r="V77">
        <v>13060</v>
      </c>
      <c r="W77">
        <v>9985</v>
      </c>
      <c r="Y77">
        <v>21824</v>
      </c>
      <c r="AB77">
        <v>0.36543398792824899</v>
      </c>
      <c r="AC77">
        <v>0.54814166213275295</v>
      </c>
      <c r="AD77">
        <v>-0.119809735339498</v>
      </c>
      <c r="AE77">
        <v>-0.21175725020369901</v>
      </c>
      <c r="AF77">
        <v>-741.06359999999904</v>
      </c>
      <c r="AG77">
        <f t="shared" si="12"/>
        <v>2.0676684496094202</v>
      </c>
      <c r="AH77">
        <f t="shared" si="13"/>
        <v>0.42390111964025695</v>
      </c>
      <c r="AI77">
        <f t="shared" si="14"/>
        <v>0.34435944222173864</v>
      </c>
      <c r="AJ77">
        <f t="shared" si="15"/>
        <v>10284.5</v>
      </c>
      <c r="AK77">
        <f t="shared" si="16"/>
        <v>0.650495591970912</v>
      </c>
      <c r="AL77">
        <f t="shared" si="17"/>
        <v>0.33570620717184485</v>
      </c>
      <c r="AM77">
        <f t="shared" si="18"/>
        <v>1.0494078559562725</v>
      </c>
      <c r="AN77">
        <f t="shared" si="19"/>
        <v>2.4108356866436566E-2</v>
      </c>
      <c r="AO77">
        <f t="shared" si="20"/>
        <v>-0.30242275557542919</v>
      </c>
      <c r="AP77">
        <f t="shared" si="21"/>
        <v>0.13343458450857018</v>
      </c>
      <c r="AQ77">
        <f t="shared" si="22"/>
        <v>0.46473576729591076</v>
      </c>
      <c r="AR77">
        <f t="shared" si="23"/>
        <v>0.48769736514419487</v>
      </c>
    </row>
    <row r="78" spans="1:44" x14ac:dyDescent="0.25">
      <c r="A78">
        <v>76</v>
      </c>
      <c r="B78">
        <v>-32.991638889999997</v>
      </c>
      <c r="C78">
        <v>27.64002778</v>
      </c>
      <c r="D78" s="1">
        <v>40669</v>
      </c>
      <c r="H78">
        <v>316</v>
      </c>
      <c r="I78">
        <v>8678.5</v>
      </c>
      <c r="J78">
        <v>8159.5</v>
      </c>
      <c r="K78">
        <v>773</v>
      </c>
      <c r="L78">
        <v>9834</v>
      </c>
      <c r="M78">
        <v>47</v>
      </c>
      <c r="N78">
        <v>42499</v>
      </c>
      <c r="O78">
        <v>8111</v>
      </c>
      <c r="P78">
        <v>1564</v>
      </c>
      <c r="Q78">
        <v>7733</v>
      </c>
      <c r="R78">
        <v>138</v>
      </c>
      <c r="S78">
        <v>8682</v>
      </c>
      <c r="T78">
        <v>13294</v>
      </c>
      <c r="U78">
        <v>42499</v>
      </c>
      <c r="V78">
        <v>10771.5</v>
      </c>
      <c r="W78">
        <v>8894</v>
      </c>
      <c r="X78">
        <v>1</v>
      </c>
      <c r="Y78">
        <v>5440</v>
      </c>
      <c r="AA78">
        <v>46.5</v>
      </c>
      <c r="AB78">
        <v>0.21005802707930299</v>
      </c>
      <c r="AC78">
        <v>0.31507987075046601</v>
      </c>
      <c r="AD78">
        <v>-4.8981138533377301E-2</v>
      </c>
      <c r="AE78">
        <v>-0.104818100600444</v>
      </c>
      <c r="AF78">
        <v>-1396.57475</v>
      </c>
      <c r="AG78">
        <f t="shared" si="12"/>
        <v>2.7672522333473228</v>
      </c>
      <c r="AH78">
        <f t="shared" si="13"/>
        <v>0.24366553708108166</v>
      </c>
      <c r="AI78">
        <f t="shared" si="14"/>
        <v>0.20986530760829997</v>
      </c>
      <c r="AJ78">
        <f t="shared" si="15"/>
        <v>4611</v>
      </c>
      <c r="AK78">
        <f t="shared" si="16"/>
        <v>0.81025274559951854</v>
      </c>
      <c r="AL78">
        <f t="shared" si="17"/>
        <v>0.19830539030106364</v>
      </c>
      <c r="AM78">
        <f t="shared" si="18"/>
        <v>1.0004032955003745</v>
      </c>
      <c r="AN78">
        <f t="shared" si="19"/>
        <v>2.0160709656979925E-4</v>
      </c>
      <c r="AO78">
        <f t="shared" si="20"/>
        <v>-0.18934412148179913</v>
      </c>
      <c r="AP78">
        <f t="shared" si="21"/>
        <v>9.5471765274211182E-2</v>
      </c>
      <c r="AQ78">
        <f t="shared" si="22"/>
        <v>0.65281329923273657</v>
      </c>
      <c r="AR78">
        <f t="shared" si="23"/>
        <v>0.65307657589890178</v>
      </c>
    </row>
    <row r="79" spans="1:44" x14ac:dyDescent="0.25">
      <c r="A79">
        <v>77</v>
      </c>
      <c r="B79">
        <v>-32.086390000000002</v>
      </c>
      <c r="C79">
        <v>25.575559999999999</v>
      </c>
      <c r="D79" s="1">
        <v>41866</v>
      </c>
      <c r="H79">
        <v>144</v>
      </c>
      <c r="I79">
        <v>12038</v>
      </c>
      <c r="J79">
        <v>9485</v>
      </c>
      <c r="K79">
        <v>454</v>
      </c>
      <c r="L79">
        <v>9736</v>
      </c>
      <c r="M79">
        <v>49</v>
      </c>
      <c r="O79">
        <v>8433.5</v>
      </c>
      <c r="P79">
        <v>851.5</v>
      </c>
      <c r="Q79">
        <v>8735</v>
      </c>
      <c r="R79">
        <v>3453.5</v>
      </c>
      <c r="S79">
        <v>10905</v>
      </c>
      <c r="T79">
        <v>13680.5</v>
      </c>
      <c r="V79">
        <v>14832.5</v>
      </c>
      <c r="W79">
        <v>12182</v>
      </c>
      <c r="Y79">
        <v>21824</v>
      </c>
      <c r="AB79">
        <v>6.3864533312595895E-2</v>
      </c>
      <c r="AC79">
        <v>9.5794937594774296E-2</v>
      </c>
      <c r="AD79">
        <v>7.4046686385802196E-2</v>
      </c>
      <c r="AE79">
        <v>4.0402623364780899E-2</v>
      </c>
      <c r="AF79">
        <v>-3912.3022999999998</v>
      </c>
      <c r="AG79">
        <f t="shared" si="12"/>
        <v>0.27797522339561331</v>
      </c>
      <c r="AH79">
        <f t="shared" si="13"/>
        <v>7.4082397761003102E-2</v>
      </c>
      <c r="AI79">
        <f t="shared" si="14"/>
        <v>0.11289174513432715</v>
      </c>
      <c r="AJ79">
        <f t="shared" si="15"/>
        <v>2774.5</v>
      </c>
      <c r="AK79">
        <f t="shared" si="16"/>
        <v>1.0842074485581668</v>
      </c>
      <c r="AL79">
        <f t="shared" si="17"/>
        <v>5.7941034316094729E-2</v>
      </c>
      <c r="AM79">
        <f t="shared" si="18"/>
        <v>0.90588137564379467</v>
      </c>
      <c r="AN79">
        <f t="shared" si="19"/>
        <v>-4.938325415159308E-2</v>
      </c>
      <c r="AO79">
        <f t="shared" si="20"/>
        <v>-1.9689846260723565E-2</v>
      </c>
      <c r="AP79">
        <f t="shared" si="21"/>
        <v>9.8113975827796185E-2</v>
      </c>
      <c r="AQ79">
        <f t="shared" si="22"/>
        <v>0.87993859873542635</v>
      </c>
      <c r="AR79">
        <f t="shared" si="23"/>
        <v>0.79711998830452102</v>
      </c>
    </row>
    <row r="80" spans="1:44" x14ac:dyDescent="0.25">
      <c r="A80">
        <v>78</v>
      </c>
      <c r="B80">
        <v>-32.605277999999998</v>
      </c>
      <c r="C80">
        <v>25.885000000000002</v>
      </c>
      <c r="D80" s="1">
        <v>41422</v>
      </c>
      <c r="H80">
        <v>145.5</v>
      </c>
      <c r="I80">
        <v>9523</v>
      </c>
      <c r="J80">
        <v>8139.5</v>
      </c>
      <c r="K80">
        <v>420</v>
      </c>
      <c r="L80">
        <v>9701</v>
      </c>
      <c r="M80">
        <v>64</v>
      </c>
      <c r="O80">
        <v>7945</v>
      </c>
      <c r="P80">
        <v>784</v>
      </c>
      <c r="Q80">
        <v>8798</v>
      </c>
      <c r="R80">
        <v>4897</v>
      </c>
      <c r="S80">
        <v>9381.5</v>
      </c>
      <c r="T80">
        <v>15063</v>
      </c>
      <c r="V80">
        <v>13477</v>
      </c>
      <c r="W80">
        <v>11333.5</v>
      </c>
      <c r="Y80">
        <v>21824</v>
      </c>
      <c r="AB80">
        <v>0.22533148946554901</v>
      </c>
      <c r="AC80">
        <v>0.337990360563724</v>
      </c>
      <c r="AD80">
        <v>-4.3828797143011002E-3</v>
      </c>
      <c r="AE80">
        <v>-5.5571128241065103E-2</v>
      </c>
      <c r="AF80">
        <v>-3419.3101499999998</v>
      </c>
      <c r="AG80">
        <f t="shared" si="12"/>
        <v>1.2415122246375188</v>
      </c>
      <c r="AH80">
        <f t="shared" si="13"/>
        <v>0.26138282676107205</v>
      </c>
      <c r="AI80">
        <f t="shared" si="14"/>
        <v>0.23242447176256417</v>
      </c>
      <c r="AJ80">
        <f t="shared" si="15"/>
        <v>5680.5</v>
      </c>
      <c r="AK80">
        <f t="shared" si="16"/>
        <v>0.89470888933147452</v>
      </c>
      <c r="AL80">
        <f t="shared" si="17"/>
        <v>0.1412876707139204</v>
      </c>
      <c r="AM80">
        <f t="shared" si="18"/>
        <v>0.98514123700514544</v>
      </c>
      <c r="AN80">
        <f t="shared" si="19"/>
        <v>-7.4849903462138644E-3</v>
      </c>
      <c r="AO80">
        <f t="shared" si="20"/>
        <v>-0.12037398654125364</v>
      </c>
      <c r="AP80">
        <f t="shared" si="21"/>
        <v>8.6394873138388992E-2</v>
      </c>
      <c r="AQ80">
        <f t="shared" si="22"/>
        <v>0.63221137887539003</v>
      </c>
      <c r="AR80">
        <f t="shared" si="23"/>
        <v>0.62281749983403045</v>
      </c>
    </row>
    <row r="81" spans="1:44" x14ac:dyDescent="0.25">
      <c r="A81">
        <v>79</v>
      </c>
      <c r="B81">
        <v>-33.731110999999999</v>
      </c>
      <c r="C81">
        <v>24.618333</v>
      </c>
      <c r="D81" s="1">
        <v>42103</v>
      </c>
      <c r="H81">
        <v>238</v>
      </c>
      <c r="I81">
        <v>8861</v>
      </c>
      <c r="J81">
        <v>8124.5</v>
      </c>
      <c r="K81">
        <v>1183.5</v>
      </c>
      <c r="L81">
        <v>9718</v>
      </c>
      <c r="M81">
        <v>61</v>
      </c>
      <c r="O81">
        <v>8889.5</v>
      </c>
      <c r="P81">
        <v>2504.5</v>
      </c>
      <c r="Q81">
        <v>6910.5</v>
      </c>
      <c r="R81">
        <v>399.5</v>
      </c>
      <c r="S81">
        <v>8885.5</v>
      </c>
      <c r="T81">
        <v>14468.5</v>
      </c>
      <c r="V81">
        <v>10462.5</v>
      </c>
      <c r="W81">
        <v>8944</v>
      </c>
      <c r="Y81">
        <v>21824</v>
      </c>
      <c r="AB81">
        <v>0.240360916436271</v>
      </c>
      <c r="AC81">
        <v>0.36053364766395102</v>
      </c>
      <c r="AD81">
        <v>-7.8000310140398099E-2</v>
      </c>
      <c r="AE81">
        <v>-0.160683486422526</v>
      </c>
      <c r="AF81">
        <v>-704.52549999999997</v>
      </c>
      <c r="AG81">
        <f t="shared" si="12"/>
        <v>2.0918043794531278</v>
      </c>
      <c r="AH81">
        <f t="shared" si="13"/>
        <v>0.27881675086563629</v>
      </c>
      <c r="AI81">
        <f t="shared" si="14"/>
        <v>0.23905968998886701</v>
      </c>
      <c r="AJ81">
        <f t="shared" si="15"/>
        <v>5582</v>
      </c>
      <c r="AK81">
        <f t="shared" si="16"/>
        <v>0.72312264574765872</v>
      </c>
      <c r="AL81">
        <f t="shared" si="17"/>
        <v>0.23596369460758143</v>
      </c>
      <c r="AM81">
        <f t="shared" si="18"/>
        <v>1.002764924952037</v>
      </c>
      <c r="AN81">
        <f t="shared" si="19"/>
        <v>1.3805539120389937E-3</v>
      </c>
      <c r="AO81">
        <f t="shared" si="20"/>
        <v>-0.27412005303125075</v>
      </c>
      <c r="AP81">
        <f t="shared" si="21"/>
        <v>7.8246979104939066E-2</v>
      </c>
      <c r="AQ81">
        <f t="shared" si="22"/>
        <v>0.61243390814528109</v>
      </c>
      <c r="AR81">
        <f t="shared" si="23"/>
        <v>0.61412724193938562</v>
      </c>
    </row>
    <row r="82" spans="1:44" x14ac:dyDescent="0.25">
      <c r="A82">
        <v>80</v>
      </c>
      <c r="B82">
        <v>-32.991638889999997</v>
      </c>
      <c r="C82">
        <v>27.64002778</v>
      </c>
      <c r="D82" s="1">
        <v>41613</v>
      </c>
      <c r="H82">
        <v>-4847</v>
      </c>
      <c r="I82">
        <v>4684.5</v>
      </c>
      <c r="J82">
        <v>4221</v>
      </c>
      <c r="K82">
        <v>754</v>
      </c>
      <c r="L82">
        <v>-101</v>
      </c>
      <c r="M82">
        <v>-4981</v>
      </c>
      <c r="N82">
        <v>22213.5</v>
      </c>
      <c r="O82">
        <v>8873.5</v>
      </c>
      <c r="P82">
        <v>1513</v>
      </c>
      <c r="Q82">
        <v>7864</v>
      </c>
      <c r="R82">
        <v>-4931</v>
      </c>
      <c r="S82">
        <v>4829.5</v>
      </c>
      <c r="T82">
        <v>6281</v>
      </c>
      <c r="U82">
        <v>22213.5</v>
      </c>
      <c r="V82">
        <v>5173.5</v>
      </c>
      <c r="W82">
        <v>4286.5</v>
      </c>
      <c r="Y82">
        <v>2720.5</v>
      </c>
      <c r="AA82">
        <v>-4967.5</v>
      </c>
      <c r="AB82">
        <v>0.145592996215402</v>
      </c>
      <c r="AC82">
        <v>0.218379536749954</v>
      </c>
      <c r="AD82">
        <v>-3.1630648330058901E-2</v>
      </c>
      <c r="AE82">
        <v>-9.6686891614649204E-2</v>
      </c>
      <c r="AF82">
        <v>-367.683799999999</v>
      </c>
      <c r="AG82">
        <f t="shared" si="12"/>
        <v>1.4611934834340106</v>
      </c>
      <c r="AH82">
        <f t="shared" si="13"/>
        <v>0.16888541136602811</v>
      </c>
      <c r="AI82">
        <f t="shared" si="14"/>
        <v>0.13064218532019262</v>
      </c>
      <c r="AJ82">
        <f t="shared" si="15"/>
        <v>1450.5</v>
      </c>
      <c r="AK82">
        <f t="shared" si="16"/>
        <v>0.82367457411240252</v>
      </c>
      <c r="AL82">
        <f t="shared" si="17"/>
        <v>0.18873905843387745</v>
      </c>
      <c r="AM82">
        <f t="shared" si="18"/>
        <v>1.0309531433450743</v>
      </c>
      <c r="AN82">
        <f t="shared" si="19"/>
        <v>1.5240697918856422E-2</v>
      </c>
      <c r="AO82">
        <f t="shared" si="20"/>
        <v>-0.14630161389877872</v>
      </c>
      <c r="AP82">
        <f t="shared" si="21"/>
        <v>9.3763213530655393E-2</v>
      </c>
      <c r="AQ82">
        <f t="shared" si="22"/>
        <v>0.74582072918325104</v>
      </c>
      <c r="AR82">
        <f t="shared" si="23"/>
        <v>0.76890622512338802</v>
      </c>
    </row>
    <row r="83" spans="1:44" x14ac:dyDescent="0.25">
      <c r="A83">
        <v>81</v>
      </c>
      <c r="B83">
        <v>-32.086390000000002</v>
      </c>
      <c r="C83">
        <v>25.575559999999999</v>
      </c>
      <c r="D83" s="1">
        <v>41221</v>
      </c>
      <c r="H83">
        <v>213.5</v>
      </c>
      <c r="I83">
        <v>11164.5</v>
      </c>
      <c r="J83">
        <v>9362</v>
      </c>
      <c r="K83">
        <v>280</v>
      </c>
      <c r="L83">
        <v>9770.5</v>
      </c>
      <c r="M83">
        <v>49</v>
      </c>
      <c r="N83">
        <v>44047.5</v>
      </c>
      <c r="O83">
        <v>8892</v>
      </c>
      <c r="P83">
        <v>479</v>
      </c>
      <c r="Q83">
        <v>9214.5</v>
      </c>
      <c r="R83">
        <v>926</v>
      </c>
      <c r="S83">
        <v>10654</v>
      </c>
      <c r="T83">
        <v>16162</v>
      </c>
      <c r="U83">
        <v>44047.5</v>
      </c>
      <c r="V83">
        <v>14157</v>
      </c>
      <c r="W83">
        <v>11210.5</v>
      </c>
      <c r="X83">
        <v>8</v>
      </c>
      <c r="Y83">
        <v>5440</v>
      </c>
      <c r="AA83">
        <v>8</v>
      </c>
      <c r="AB83">
        <v>0.182881086125189</v>
      </c>
      <c r="AC83">
        <v>0.27431660994620699</v>
      </c>
      <c r="AD83">
        <v>-3.9826533321532E-3</v>
      </c>
      <c r="AE83">
        <v>-6.6130149411260206E-2</v>
      </c>
      <c r="AF83">
        <v>-2498.0727000000002</v>
      </c>
      <c r="AG83">
        <f t="shared" si="12"/>
        <v>0.96588712794742948</v>
      </c>
      <c r="AH83">
        <f t="shared" si="13"/>
        <v>0.21214081779478353</v>
      </c>
      <c r="AI83">
        <f t="shared" si="14"/>
        <v>0.20539976133651552</v>
      </c>
      <c r="AJ83">
        <f t="shared" si="15"/>
        <v>5507</v>
      </c>
      <c r="AK83">
        <f t="shared" si="16"/>
        <v>0.87594357134018064</v>
      </c>
      <c r="AL83">
        <f t="shared" si="17"/>
        <v>0.18089323225865375</v>
      </c>
      <c r="AM83">
        <f t="shared" si="18"/>
        <v>0.95427471001836173</v>
      </c>
      <c r="AN83">
        <f t="shared" si="19"/>
        <v>-2.3397575452024658E-2</v>
      </c>
      <c r="AO83">
        <f t="shared" si="20"/>
        <v>-0.17197270423706734</v>
      </c>
      <c r="AP83">
        <f t="shared" si="21"/>
        <v>0.1161525574061299</v>
      </c>
      <c r="AQ83">
        <f t="shared" si="22"/>
        <v>0.69078703130800645</v>
      </c>
      <c r="AR83">
        <f t="shared" si="23"/>
        <v>0.65920059398589281</v>
      </c>
    </row>
    <row r="84" spans="1:44" x14ac:dyDescent="0.25">
      <c r="A84">
        <v>82</v>
      </c>
      <c r="B84">
        <v>-32.991638889999997</v>
      </c>
      <c r="C84">
        <v>27.64002778</v>
      </c>
      <c r="D84" s="1">
        <v>42020</v>
      </c>
      <c r="H84">
        <v>682.5</v>
      </c>
      <c r="I84">
        <v>13615</v>
      </c>
      <c r="J84">
        <v>11216</v>
      </c>
      <c r="K84">
        <v>1340</v>
      </c>
      <c r="L84">
        <v>9804.5</v>
      </c>
      <c r="M84">
        <v>47</v>
      </c>
      <c r="O84">
        <v>8825.5</v>
      </c>
      <c r="P84">
        <v>2922</v>
      </c>
      <c r="Q84">
        <v>6367</v>
      </c>
      <c r="S84">
        <v>13553</v>
      </c>
      <c r="T84">
        <v>21308</v>
      </c>
      <c r="V84">
        <v>18512.5</v>
      </c>
      <c r="W84">
        <v>16452</v>
      </c>
      <c r="Y84">
        <v>22280</v>
      </c>
      <c r="AB84">
        <v>0.22028462617759001</v>
      </c>
      <c r="AC84">
        <v>0.33042220854152599</v>
      </c>
      <c r="AD84">
        <v>-6.1328816810127997E-3</v>
      </c>
      <c r="AE84">
        <v>-7.0202533870744904E-2</v>
      </c>
      <c r="AF84">
        <v>-4577.6284500000002</v>
      </c>
      <c r="AG84">
        <f t="shared" si="12"/>
        <v>1.0187245087133852</v>
      </c>
      <c r="AH84">
        <f t="shared" si="13"/>
        <v>0.25552899565789572</v>
      </c>
      <c r="AI84">
        <f t="shared" si="14"/>
        <v>0.22245489228650928</v>
      </c>
      <c r="AJ84">
        <f t="shared" si="15"/>
        <v>7754</v>
      </c>
      <c r="AK84">
        <f t="shared" si="16"/>
        <v>0.86880514360803451</v>
      </c>
      <c r="AL84">
        <f t="shared" si="17"/>
        <v>0.12860169491525425</v>
      </c>
      <c r="AM84">
        <f t="shared" si="18"/>
        <v>0.99544619904517073</v>
      </c>
      <c r="AN84">
        <f t="shared" si="19"/>
        <v>-2.2820965842167257E-3</v>
      </c>
      <c r="AO84">
        <f t="shared" si="20"/>
        <v>-0.13576948931456567</v>
      </c>
      <c r="AP84">
        <f t="shared" si="21"/>
        <v>5.8931201647385204E-2</v>
      </c>
      <c r="AQ84">
        <f t="shared" si="22"/>
        <v>0.63896189224704336</v>
      </c>
      <c r="AR84">
        <f t="shared" si="23"/>
        <v>0.63605218697202925</v>
      </c>
    </row>
    <row r="85" spans="1:44" x14ac:dyDescent="0.25">
      <c r="A85">
        <v>83</v>
      </c>
      <c r="B85">
        <v>-32.579166999999998</v>
      </c>
      <c r="C85">
        <v>27.366667</v>
      </c>
      <c r="D85" s="1">
        <v>40611</v>
      </c>
      <c r="H85">
        <v>484.5</v>
      </c>
      <c r="I85">
        <v>8332</v>
      </c>
      <c r="J85">
        <v>8169</v>
      </c>
      <c r="K85">
        <v>1016.5</v>
      </c>
      <c r="L85">
        <v>9657</v>
      </c>
      <c r="M85">
        <v>138</v>
      </c>
      <c r="N85">
        <v>44566.5</v>
      </c>
      <c r="O85">
        <v>8781</v>
      </c>
      <c r="P85">
        <v>2119</v>
      </c>
      <c r="Q85">
        <v>7172.5</v>
      </c>
      <c r="R85">
        <v>31</v>
      </c>
      <c r="S85">
        <v>8775</v>
      </c>
      <c r="T85">
        <v>17552</v>
      </c>
      <c r="U85">
        <v>44566.5</v>
      </c>
      <c r="V85">
        <v>12107.5</v>
      </c>
      <c r="W85">
        <v>9635</v>
      </c>
      <c r="Y85">
        <v>5440</v>
      </c>
      <c r="AA85">
        <v>162</v>
      </c>
      <c r="AB85">
        <v>0.356204605161489</v>
      </c>
      <c r="AC85">
        <v>0.53429658676041603</v>
      </c>
      <c r="AD85">
        <v>-0.114416005025942</v>
      </c>
      <c r="AE85">
        <v>-0.183566816702911</v>
      </c>
      <c r="AF85">
        <v>-1328.4988499999999</v>
      </c>
      <c r="AG85">
        <f t="shared" si="12"/>
        <v>3.6718438868976504</v>
      </c>
      <c r="AH85">
        <f t="shared" si="13"/>
        <v>0.41319478785481156</v>
      </c>
      <c r="AI85">
        <f t="shared" si="14"/>
        <v>0.33338397842519085</v>
      </c>
      <c r="AJ85">
        <f t="shared" si="15"/>
        <v>8776</v>
      </c>
      <c r="AK85">
        <f t="shared" si="16"/>
        <v>0.68980742935278028</v>
      </c>
      <c r="AL85">
        <f t="shared" si="17"/>
        <v>0.2912053555007908</v>
      </c>
      <c r="AM85">
        <f t="shared" si="18"/>
        <v>1.0531685069611139</v>
      </c>
      <c r="AN85">
        <f t="shared" si="19"/>
        <v>2.589583211550827E-2</v>
      </c>
      <c r="AO85">
        <f t="shared" si="20"/>
        <v>-0.25970824016288929</v>
      </c>
      <c r="AP85">
        <f t="shared" si="21"/>
        <v>0.1137173738070599</v>
      </c>
      <c r="AQ85">
        <f t="shared" si="22"/>
        <v>0.47470373746581584</v>
      </c>
      <c r="AR85">
        <f t="shared" si="23"/>
        <v>0.49994302643573379</v>
      </c>
    </row>
    <row r="86" spans="1:44" x14ac:dyDescent="0.25">
      <c r="A86">
        <v>84</v>
      </c>
      <c r="B86">
        <v>-32.802778000000004</v>
      </c>
      <c r="C86">
        <v>27.856389</v>
      </c>
      <c r="D86" s="1">
        <v>41914</v>
      </c>
      <c r="H86">
        <v>223</v>
      </c>
      <c r="I86">
        <v>8850.5</v>
      </c>
      <c r="J86">
        <v>8432</v>
      </c>
      <c r="K86">
        <v>852</v>
      </c>
      <c r="L86">
        <v>9828</v>
      </c>
      <c r="M86">
        <v>149</v>
      </c>
      <c r="O86">
        <v>8965</v>
      </c>
      <c r="P86">
        <v>1753</v>
      </c>
      <c r="Q86">
        <v>7711.5</v>
      </c>
      <c r="R86">
        <v>905</v>
      </c>
      <c r="S86">
        <v>9084.5</v>
      </c>
      <c r="T86">
        <v>14831</v>
      </c>
      <c r="V86">
        <v>13506.5</v>
      </c>
      <c r="W86">
        <v>10759.5</v>
      </c>
      <c r="Y86">
        <v>21824</v>
      </c>
      <c r="AB86">
        <v>0.25253890167430199</v>
      </c>
      <c r="AC86">
        <v>0.37880035469977102</v>
      </c>
      <c r="AD86">
        <v>-1.9859710653222201E-2</v>
      </c>
      <c r="AE86">
        <v>-4.67401852668725E-2</v>
      </c>
      <c r="AF86">
        <v>-3492.84419999999</v>
      </c>
      <c r="AG86">
        <f t="shared" si="12"/>
        <v>3.1845047923322682</v>
      </c>
      <c r="AH86">
        <f t="shared" si="13"/>
        <v>0.29294314672197808</v>
      </c>
      <c r="AI86">
        <f t="shared" si="14"/>
        <v>0.24028349814973551</v>
      </c>
      <c r="AJ86">
        <f t="shared" si="15"/>
        <v>5745.5</v>
      </c>
      <c r="AK86">
        <f t="shared" si="16"/>
        <v>0.91069381700492213</v>
      </c>
      <c r="AL86">
        <f t="shared" si="17"/>
        <v>0.15910201051171333</v>
      </c>
      <c r="AM86">
        <f t="shared" si="18"/>
        <v>1.0264391842268799</v>
      </c>
      <c r="AN86">
        <f t="shared" si="19"/>
        <v>1.3047114580429328E-2</v>
      </c>
      <c r="AO86">
        <f t="shared" si="20"/>
        <v>-6.3548023492628669E-2</v>
      </c>
      <c r="AP86">
        <f t="shared" si="21"/>
        <v>0.11320365944119344</v>
      </c>
      <c r="AQ86">
        <f t="shared" si="22"/>
        <v>0.59675679320342523</v>
      </c>
      <c r="AR86">
        <f t="shared" si="23"/>
        <v>0.61253455599757267</v>
      </c>
    </row>
    <row r="87" spans="1:44" x14ac:dyDescent="0.25">
      <c r="A87">
        <v>85</v>
      </c>
      <c r="B87">
        <v>-32.991638889999997</v>
      </c>
      <c r="C87">
        <v>27.64002778</v>
      </c>
      <c r="D87" s="1">
        <v>41340</v>
      </c>
      <c r="H87">
        <v>276</v>
      </c>
      <c r="I87">
        <v>9389.5</v>
      </c>
      <c r="J87">
        <v>8498</v>
      </c>
      <c r="K87">
        <v>1152</v>
      </c>
      <c r="L87">
        <v>9847</v>
      </c>
      <c r="M87">
        <v>47</v>
      </c>
      <c r="N87">
        <v>44835</v>
      </c>
      <c r="O87">
        <v>8985.5</v>
      </c>
      <c r="P87">
        <v>2473</v>
      </c>
      <c r="Q87">
        <v>6817</v>
      </c>
      <c r="R87">
        <v>252</v>
      </c>
      <c r="S87">
        <v>9672.5</v>
      </c>
      <c r="T87">
        <v>17203.5</v>
      </c>
      <c r="U87">
        <v>44835</v>
      </c>
      <c r="V87">
        <v>13231.5</v>
      </c>
      <c r="W87">
        <v>10301</v>
      </c>
      <c r="Y87">
        <v>5440</v>
      </c>
      <c r="AA87">
        <v>49</v>
      </c>
      <c r="AB87">
        <v>0.29383672394991101</v>
      </c>
      <c r="AC87">
        <v>0.44074679902983799</v>
      </c>
      <c r="AD87">
        <v>-6.3748771276320504E-2</v>
      </c>
      <c r="AE87">
        <v>-0.130507639231148</v>
      </c>
      <c r="AF87">
        <v>-1976.8471</v>
      </c>
      <c r="AG87">
        <f t="shared" si="12"/>
        <v>1.9920460918778362</v>
      </c>
      <c r="AH87">
        <f t="shared" si="13"/>
        <v>0.34084854902538847</v>
      </c>
      <c r="AI87">
        <f t="shared" si="14"/>
        <v>0.28021282929007291</v>
      </c>
      <c r="AJ87">
        <f t="shared" si="15"/>
        <v>7530</v>
      </c>
      <c r="AK87">
        <f t="shared" si="16"/>
        <v>0.7691167494986485</v>
      </c>
      <c r="AL87">
        <f t="shared" si="17"/>
        <v>0.25095893399261937</v>
      </c>
      <c r="AM87">
        <f t="shared" si="18"/>
        <v>1.0301400500559135</v>
      </c>
      <c r="AN87">
        <f t="shared" si="19"/>
        <v>1.4846291050257057E-2</v>
      </c>
      <c r="AO87">
        <f t="shared" si="20"/>
        <v>-0.20162504424650529</v>
      </c>
      <c r="AP87">
        <f t="shared" si="21"/>
        <v>0.1245299054499097</v>
      </c>
      <c r="AQ87">
        <f t="shared" si="22"/>
        <v>0.54579010085157087</v>
      </c>
      <c r="AR87">
        <f t="shared" si="23"/>
        <v>0.56224024181125931</v>
      </c>
    </row>
    <row r="88" spans="1:44" x14ac:dyDescent="0.25">
      <c r="A88">
        <v>86</v>
      </c>
      <c r="B88">
        <v>-32.991638889999997</v>
      </c>
      <c r="C88">
        <v>27.64002778</v>
      </c>
      <c r="D88" s="1">
        <v>41004</v>
      </c>
      <c r="H88">
        <v>150</v>
      </c>
      <c r="I88">
        <v>9427</v>
      </c>
      <c r="J88">
        <v>8262</v>
      </c>
      <c r="K88">
        <v>613</v>
      </c>
      <c r="L88">
        <v>9846.5</v>
      </c>
      <c r="M88">
        <v>47</v>
      </c>
      <c r="N88">
        <v>42037.5</v>
      </c>
      <c r="O88">
        <v>8037</v>
      </c>
      <c r="P88">
        <v>1194</v>
      </c>
      <c r="Q88">
        <v>8242</v>
      </c>
      <c r="R88">
        <v>2402.5</v>
      </c>
      <c r="S88">
        <v>9438</v>
      </c>
      <c r="T88">
        <v>16457</v>
      </c>
      <c r="U88">
        <v>42037.5</v>
      </c>
      <c r="V88">
        <v>12484.5</v>
      </c>
      <c r="W88">
        <v>9881</v>
      </c>
      <c r="Y88">
        <v>5440</v>
      </c>
      <c r="AA88">
        <v>9</v>
      </c>
      <c r="AB88">
        <v>0.27159635295935702</v>
      </c>
      <c r="AC88">
        <v>0.40738665997025197</v>
      </c>
      <c r="AD88">
        <v>-6.0207375001340303E-2</v>
      </c>
      <c r="AE88">
        <v>-0.13725964445519401</v>
      </c>
      <c r="AF88">
        <v>-1577.67695</v>
      </c>
      <c r="AG88">
        <f t="shared" si="12"/>
        <v>1.5897783808231569</v>
      </c>
      <c r="AH88">
        <f t="shared" si="13"/>
        <v>0.31504982197606562</v>
      </c>
      <c r="AI88">
        <f t="shared" si="14"/>
        <v>0.27105618845336937</v>
      </c>
      <c r="AJ88">
        <f t="shared" si="15"/>
        <v>7018</v>
      </c>
      <c r="AK88">
        <f t="shared" si="16"/>
        <v>0.75861335601871549</v>
      </c>
      <c r="AL88">
        <f t="shared" si="17"/>
        <v>0.24967727238210949</v>
      </c>
      <c r="AM88">
        <f t="shared" si="18"/>
        <v>1.0011668611435238</v>
      </c>
      <c r="AN88">
        <f t="shared" si="19"/>
        <v>5.8309037900874635E-4</v>
      </c>
      <c r="AO88">
        <f t="shared" si="20"/>
        <v>-0.24022114281578333</v>
      </c>
      <c r="AP88">
        <f t="shared" si="21"/>
        <v>0.11640696608615948</v>
      </c>
      <c r="AQ88">
        <f t="shared" si="22"/>
        <v>0.57282615300480044</v>
      </c>
      <c r="AR88">
        <f t="shared" si="23"/>
        <v>0.573494561584736</v>
      </c>
    </row>
    <row r="89" spans="1:44" x14ac:dyDescent="0.25">
      <c r="A89">
        <v>87</v>
      </c>
      <c r="B89">
        <v>-32.991638889999997</v>
      </c>
      <c r="C89">
        <v>27.64002778</v>
      </c>
      <c r="D89" s="1">
        <v>41116</v>
      </c>
      <c r="H89">
        <v>375</v>
      </c>
      <c r="I89">
        <v>9005</v>
      </c>
      <c r="J89">
        <v>8318</v>
      </c>
      <c r="K89">
        <v>622</v>
      </c>
      <c r="L89">
        <v>9825.5</v>
      </c>
      <c r="M89">
        <v>47</v>
      </c>
      <c r="N89">
        <v>40586.5</v>
      </c>
      <c r="O89">
        <v>7479</v>
      </c>
      <c r="P89">
        <v>1217</v>
      </c>
      <c r="Q89">
        <v>8189</v>
      </c>
      <c r="R89">
        <v>60.5</v>
      </c>
      <c r="S89">
        <v>8908</v>
      </c>
      <c r="T89">
        <v>13229</v>
      </c>
      <c r="U89">
        <v>40586.5</v>
      </c>
      <c r="V89">
        <v>11736.5</v>
      </c>
      <c r="W89">
        <v>9225</v>
      </c>
      <c r="Y89">
        <v>5440</v>
      </c>
      <c r="AA89">
        <v>9</v>
      </c>
      <c r="AB89">
        <v>0.189979310965188</v>
      </c>
      <c r="AC89">
        <v>0.28496255818660099</v>
      </c>
      <c r="AD89">
        <v>-1.9047731652813399E-2</v>
      </c>
      <c r="AE89">
        <v>-5.9782499849792697E-2</v>
      </c>
      <c r="AF89">
        <v>-2080.6845499999999</v>
      </c>
      <c r="AG89">
        <f t="shared" si="12"/>
        <v>2.1661538461538461</v>
      </c>
      <c r="AH89">
        <f t="shared" si="13"/>
        <v>0.22037441486433484</v>
      </c>
      <c r="AI89">
        <f t="shared" si="14"/>
        <v>0.19519356733071327</v>
      </c>
      <c r="AJ89">
        <f t="shared" si="15"/>
        <v>4320</v>
      </c>
      <c r="AK89">
        <f t="shared" si="16"/>
        <v>0.88717968100385514</v>
      </c>
      <c r="AL89">
        <f t="shared" si="17"/>
        <v>0.17832012113654583</v>
      </c>
      <c r="AM89">
        <f t="shared" si="18"/>
        <v>0.98922820655191557</v>
      </c>
      <c r="AN89">
        <f t="shared" si="19"/>
        <v>-5.41506168704293E-3</v>
      </c>
      <c r="AO89">
        <f t="shared" si="20"/>
        <v>-0.12370940745595627</v>
      </c>
      <c r="AP89">
        <f t="shared" si="21"/>
        <v>0.11981489874293347</v>
      </c>
      <c r="AQ89">
        <f t="shared" si="22"/>
        <v>0.6807014891526193</v>
      </c>
      <c r="AR89">
        <f t="shared" si="23"/>
        <v>0.67336911331166371</v>
      </c>
    </row>
    <row r="90" spans="1:44" x14ac:dyDescent="0.25">
      <c r="A90">
        <v>88</v>
      </c>
      <c r="B90">
        <v>-32.605277999999998</v>
      </c>
      <c r="C90">
        <v>25.885000000000002</v>
      </c>
      <c r="D90" s="1">
        <v>41949</v>
      </c>
      <c r="H90">
        <v>581</v>
      </c>
      <c r="I90">
        <v>10622.5</v>
      </c>
      <c r="J90">
        <v>8519.5</v>
      </c>
      <c r="K90">
        <v>869</v>
      </c>
      <c r="L90">
        <v>9701</v>
      </c>
      <c r="M90">
        <v>64</v>
      </c>
      <c r="O90">
        <v>8865</v>
      </c>
      <c r="P90">
        <v>1762</v>
      </c>
      <c r="Q90">
        <v>7658</v>
      </c>
      <c r="S90">
        <v>10149</v>
      </c>
      <c r="T90">
        <v>14488</v>
      </c>
      <c r="V90">
        <v>14249</v>
      </c>
      <c r="W90">
        <v>12456</v>
      </c>
      <c r="Y90">
        <v>23826</v>
      </c>
      <c r="AB90">
        <v>0.15393958702534699</v>
      </c>
      <c r="AC90">
        <v>0.230904782764525</v>
      </c>
      <c r="AD90">
        <v>3.8931473088410301E-2</v>
      </c>
      <c r="AE90">
        <v>-8.3168041201238004E-3</v>
      </c>
      <c r="AF90">
        <v>-4106.5811999999996</v>
      </c>
      <c r="AG90">
        <f t="shared" si="12"/>
        <v>0.67447784892952489</v>
      </c>
      <c r="AH90">
        <f t="shared" si="13"/>
        <v>0.17856878313831653</v>
      </c>
      <c r="AI90">
        <f t="shared" si="14"/>
        <v>0.17611722206437472</v>
      </c>
      <c r="AJ90">
        <f t="shared" si="15"/>
        <v>4338</v>
      </c>
      <c r="AK90">
        <f t="shared" si="16"/>
        <v>0.98350358917725011</v>
      </c>
      <c r="AL90">
        <f t="shared" si="17"/>
        <v>7.5415676959619954E-2</v>
      </c>
      <c r="AM90">
        <f t="shared" si="18"/>
        <v>0.95542480583666745</v>
      </c>
      <c r="AN90">
        <f t="shared" si="19"/>
        <v>-2.2795657511494115E-2</v>
      </c>
      <c r="AO90">
        <f t="shared" si="20"/>
        <v>-6.3151253664409213E-2</v>
      </c>
      <c r="AP90">
        <f t="shared" si="21"/>
        <v>6.7140984834300699E-2</v>
      </c>
      <c r="AQ90">
        <f t="shared" si="22"/>
        <v>0.7331929872998344</v>
      </c>
      <c r="AR90">
        <f t="shared" si="23"/>
        <v>0.70051076753175046</v>
      </c>
    </row>
    <row r="91" spans="1:44" x14ac:dyDescent="0.25">
      <c r="A91">
        <v>89</v>
      </c>
      <c r="B91">
        <v>-32.605277999999998</v>
      </c>
      <c r="C91">
        <v>25.885000000000002</v>
      </c>
      <c r="D91" s="1">
        <v>41669</v>
      </c>
      <c r="H91">
        <v>180</v>
      </c>
      <c r="I91">
        <v>10198.5</v>
      </c>
      <c r="J91">
        <v>8548</v>
      </c>
      <c r="K91">
        <v>1104</v>
      </c>
      <c r="L91">
        <v>9703.5</v>
      </c>
      <c r="M91">
        <v>64</v>
      </c>
      <c r="O91">
        <v>10189</v>
      </c>
      <c r="P91">
        <v>2279</v>
      </c>
      <c r="Q91">
        <v>7304</v>
      </c>
      <c r="R91">
        <v>2069</v>
      </c>
      <c r="S91">
        <v>9950</v>
      </c>
      <c r="T91">
        <v>16734.5</v>
      </c>
      <c r="V91">
        <v>14409.5</v>
      </c>
      <c r="W91">
        <v>11808</v>
      </c>
      <c r="Y91">
        <v>21824</v>
      </c>
      <c r="AB91">
        <v>0.24267627074592499</v>
      </c>
      <c r="AC91">
        <v>0.36400764846752098</v>
      </c>
      <c r="AD91">
        <v>-1.35196079413916E-2</v>
      </c>
      <c r="AE91">
        <v>-7.4653223734908805E-2</v>
      </c>
      <c r="AF91">
        <v>-3334.1588499999998</v>
      </c>
      <c r="AG91">
        <f t="shared" si="12"/>
        <v>1.182643940216408</v>
      </c>
      <c r="AH91">
        <f t="shared" si="13"/>
        <v>0.2815028017507043</v>
      </c>
      <c r="AI91">
        <f t="shared" si="14"/>
        <v>0.25424872116771907</v>
      </c>
      <c r="AJ91">
        <f t="shared" si="15"/>
        <v>6783.5</v>
      </c>
      <c r="AK91">
        <f t="shared" si="16"/>
        <v>0.86106546356329738</v>
      </c>
      <c r="AL91">
        <f t="shared" si="17"/>
        <v>0.17260225978803539</v>
      </c>
      <c r="AM91">
        <f t="shared" si="18"/>
        <v>0.97563367161837522</v>
      </c>
      <c r="AN91">
        <f t="shared" si="19"/>
        <v>-1.2333424324391393E-2</v>
      </c>
      <c r="AO91">
        <f t="shared" si="20"/>
        <v>-0.16390941080856181</v>
      </c>
      <c r="AP91">
        <f t="shared" si="21"/>
        <v>9.9227615142557457E-2</v>
      </c>
      <c r="AQ91">
        <f t="shared" si="22"/>
        <v>0.6094296214407362</v>
      </c>
      <c r="AR91">
        <f t="shared" si="23"/>
        <v>0.59458005915922196</v>
      </c>
    </row>
    <row r="92" spans="1:44" x14ac:dyDescent="0.25">
      <c r="A92">
        <v>90</v>
      </c>
      <c r="B92">
        <v>-32.605277999999998</v>
      </c>
      <c r="C92">
        <v>25.885000000000002</v>
      </c>
      <c r="D92" s="1">
        <v>41137</v>
      </c>
      <c r="H92">
        <v>220</v>
      </c>
      <c r="I92">
        <v>10931.5</v>
      </c>
      <c r="J92">
        <v>9317</v>
      </c>
      <c r="K92">
        <v>280</v>
      </c>
      <c r="L92">
        <v>9711</v>
      </c>
      <c r="M92">
        <v>64</v>
      </c>
      <c r="N92">
        <v>45820</v>
      </c>
      <c r="O92">
        <v>9692.5</v>
      </c>
      <c r="P92">
        <v>488</v>
      </c>
      <c r="Q92">
        <v>9330</v>
      </c>
      <c r="R92">
        <v>546.5</v>
      </c>
      <c r="S92">
        <v>10290</v>
      </c>
      <c r="T92">
        <v>14177</v>
      </c>
      <c r="U92">
        <v>45820</v>
      </c>
      <c r="V92">
        <v>14948</v>
      </c>
      <c r="W92">
        <v>13164.5</v>
      </c>
      <c r="Y92">
        <v>5440</v>
      </c>
      <c r="AA92">
        <v>20</v>
      </c>
      <c r="AB92">
        <v>0.12925901587111899</v>
      </c>
      <c r="AC92">
        <v>0.19388466286988701</v>
      </c>
      <c r="AD92">
        <v>4.8315391860005802E-2</v>
      </c>
      <c r="AE92">
        <v>2.64721030042918E-2</v>
      </c>
      <c r="AF92">
        <v>-4783.2560999999996</v>
      </c>
      <c r="AG92">
        <f t="shared" si="12"/>
        <v>0.82044087163152835</v>
      </c>
      <c r="AH92">
        <f t="shared" si="13"/>
        <v>0.14993950294440245</v>
      </c>
      <c r="AI92">
        <f t="shared" si="14"/>
        <v>0.1588670454081007</v>
      </c>
      <c r="AJ92">
        <f t="shared" si="15"/>
        <v>3886</v>
      </c>
      <c r="AK92">
        <f t="shared" si="16"/>
        <v>1.0543838611836072</v>
      </c>
      <c r="AL92">
        <f t="shared" si="17"/>
        <v>3.7031618601759228E-2</v>
      </c>
      <c r="AM92">
        <f t="shared" si="18"/>
        <v>0.94131637927091438</v>
      </c>
      <c r="AN92">
        <f t="shared" si="19"/>
        <v>-3.0228777419126829E-2</v>
      </c>
      <c r="AO92">
        <f t="shared" si="20"/>
        <v>-7.9582185054112298E-3</v>
      </c>
      <c r="AP92">
        <f t="shared" si="21"/>
        <v>6.3441529568697197E-2</v>
      </c>
      <c r="AQ92">
        <f t="shared" si="22"/>
        <v>0.77107286449883616</v>
      </c>
      <c r="AR92">
        <f t="shared" si="23"/>
        <v>0.72582351696409675</v>
      </c>
    </row>
    <row r="93" spans="1:44" x14ac:dyDescent="0.25">
      <c r="A93">
        <v>91</v>
      </c>
      <c r="B93">
        <v>-34.096389000000002</v>
      </c>
      <c r="C93">
        <v>24.439167000000001</v>
      </c>
      <c r="D93" s="1">
        <v>41675</v>
      </c>
      <c r="H93">
        <v>249</v>
      </c>
      <c r="I93">
        <v>8252</v>
      </c>
      <c r="J93">
        <v>7926</v>
      </c>
      <c r="K93">
        <v>1199</v>
      </c>
      <c r="L93">
        <v>9739</v>
      </c>
      <c r="M93">
        <v>20</v>
      </c>
      <c r="N93">
        <v>45891</v>
      </c>
      <c r="O93">
        <v>9339</v>
      </c>
      <c r="P93">
        <v>2592</v>
      </c>
      <c r="Q93">
        <v>6733</v>
      </c>
      <c r="R93">
        <v>343.5</v>
      </c>
      <c r="S93">
        <v>8462.5</v>
      </c>
      <c r="T93">
        <v>15394</v>
      </c>
      <c r="U93">
        <v>45891</v>
      </c>
      <c r="V93">
        <v>10996</v>
      </c>
      <c r="W93">
        <v>8837.5</v>
      </c>
      <c r="Y93">
        <v>5440</v>
      </c>
      <c r="AA93">
        <v>93</v>
      </c>
      <c r="AB93">
        <v>0.30203839972934099</v>
      </c>
      <c r="AC93">
        <v>0.45304801979151199</v>
      </c>
      <c r="AD93">
        <v>-9.5658710768652497E-2</v>
      </c>
      <c r="AE93">
        <v>-0.166654035619552</v>
      </c>
      <c r="AF93">
        <v>-1033.7321999999999</v>
      </c>
      <c r="AG93">
        <f t="shared" si="12"/>
        <v>3.2689491028927131</v>
      </c>
      <c r="AH93">
        <f t="shared" si="13"/>
        <v>0.35036217297015665</v>
      </c>
      <c r="AI93">
        <f t="shared" si="14"/>
        <v>0.29054974535241967</v>
      </c>
      <c r="AJ93">
        <f t="shared" si="15"/>
        <v>6930.5</v>
      </c>
      <c r="AK93">
        <f t="shared" si="16"/>
        <v>0.71430427439262045</v>
      </c>
      <c r="AL93">
        <f t="shared" si="17"/>
        <v>0.27057755401027589</v>
      </c>
      <c r="AM93">
        <f t="shared" si="18"/>
        <v>1.0255089675230247</v>
      </c>
      <c r="AN93">
        <f t="shared" si="19"/>
        <v>1.2593855634329474E-2</v>
      </c>
      <c r="AO93">
        <f t="shared" si="20"/>
        <v>-0.26082127952170742</v>
      </c>
      <c r="AP93">
        <f t="shared" si="21"/>
        <v>0.10883101822673759</v>
      </c>
      <c r="AQ93">
        <f t="shared" si="22"/>
        <v>0.53605300766532415</v>
      </c>
      <c r="AR93">
        <f t="shared" si="23"/>
        <v>0.54972716642847863</v>
      </c>
    </row>
    <row r="94" spans="1:44" x14ac:dyDescent="0.25">
      <c r="A94">
        <v>92</v>
      </c>
      <c r="B94">
        <v>-32.991638889999997</v>
      </c>
      <c r="C94">
        <v>27.64002778</v>
      </c>
      <c r="D94" s="1">
        <v>41677</v>
      </c>
      <c r="H94">
        <v>253.5</v>
      </c>
      <c r="I94">
        <v>9027.5</v>
      </c>
      <c r="J94">
        <v>8057.5</v>
      </c>
      <c r="K94">
        <v>1571</v>
      </c>
      <c r="L94">
        <v>9844</v>
      </c>
      <c r="M94">
        <v>47</v>
      </c>
      <c r="O94">
        <v>9789</v>
      </c>
      <c r="P94">
        <v>3482</v>
      </c>
      <c r="Q94">
        <v>5782</v>
      </c>
      <c r="R94">
        <v>1115.5</v>
      </c>
      <c r="S94">
        <v>9266</v>
      </c>
      <c r="T94">
        <v>16959.5</v>
      </c>
      <c r="V94">
        <v>12864.5</v>
      </c>
      <c r="W94">
        <v>9973</v>
      </c>
      <c r="Y94">
        <v>21824</v>
      </c>
      <c r="AB94">
        <v>0.305229537845846</v>
      </c>
      <c r="AC94">
        <v>0.45783549783549699</v>
      </c>
      <c r="AD94">
        <v>-6.6618346159585506E-2</v>
      </c>
      <c r="AE94">
        <v>-0.13730552575107199</v>
      </c>
      <c r="AF94">
        <v>-1914.8553999999999</v>
      </c>
      <c r="AG94">
        <f t="shared" si="12"/>
        <v>1.8542674801879515</v>
      </c>
      <c r="AH94">
        <f t="shared" si="13"/>
        <v>0.35406408395530714</v>
      </c>
      <c r="AI94">
        <f t="shared" si="14"/>
        <v>0.2933595165011153</v>
      </c>
      <c r="AJ94">
        <f t="shared" si="15"/>
        <v>7692.5</v>
      </c>
      <c r="AK94">
        <f t="shared" si="16"/>
        <v>0.75854240985878119</v>
      </c>
      <c r="AL94">
        <f t="shared" si="17"/>
        <v>0.25940777870602433</v>
      </c>
      <c r="AM94">
        <f t="shared" si="18"/>
        <v>1.0264192744392135</v>
      </c>
      <c r="AN94">
        <f t="shared" si="19"/>
        <v>1.3037417662011096E-2</v>
      </c>
      <c r="AO94">
        <f t="shared" si="20"/>
        <v>-0.21571832832382187</v>
      </c>
      <c r="AP94">
        <f t="shared" si="21"/>
        <v>0.12661193212917352</v>
      </c>
      <c r="AQ94">
        <f t="shared" si="22"/>
        <v>0.53229753235649635</v>
      </c>
      <c r="AR94">
        <f t="shared" si="23"/>
        <v>0.54636044694713881</v>
      </c>
    </row>
    <row r="95" spans="1:44" x14ac:dyDescent="0.25">
      <c r="A95">
        <v>93</v>
      </c>
      <c r="B95">
        <v>-33.094444000000003</v>
      </c>
      <c r="C95">
        <v>25.012778000000001</v>
      </c>
      <c r="D95" s="1">
        <v>41920</v>
      </c>
      <c r="H95">
        <v>149.5</v>
      </c>
      <c r="I95">
        <v>10950.5</v>
      </c>
      <c r="J95">
        <v>9213.5</v>
      </c>
      <c r="K95">
        <v>503</v>
      </c>
      <c r="L95">
        <v>9670</v>
      </c>
      <c r="M95">
        <v>53</v>
      </c>
      <c r="O95">
        <v>9951</v>
      </c>
      <c r="P95">
        <v>953</v>
      </c>
      <c r="Q95">
        <v>8792</v>
      </c>
      <c r="R95">
        <v>4849.5</v>
      </c>
      <c r="S95">
        <v>10371.5</v>
      </c>
      <c r="T95">
        <v>14706</v>
      </c>
      <c r="V95">
        <v>14302</v>
      </c>
      <c r="W95">
        <v>12403</v>
      </c>
      <c r="Y95">
        <v>21824</v>
      </c>
      <c r="AB95">
        <v>0.14637616198624101</v>
      </c>
      <c r="AC95">
        <v>0.219559964142339</v>
      </c>
      <c r="AD95">
        <v>2.71089237777597E-2</v>
      </c>
      <c r="AE95">
        <v>-1.3927192498621E-2</v>
      </c>
      <c r="AF95">
        <v>-3789.4209500000002</v>
      </c>
      <c r="AG95">
        <f t="shared" si="12"/>
        <v>0.83021996241848128</v>
      </c>
      <c r="AH95">
        <f t="shared" si="13"/>
        <v>0.16979528902047267</v>
      </c>
      <c r="AI95">
        <f t="shared" si="14"/>
        <v>0.17284418303259894</v>
      </c>
      <c r="AJ95">
        <f t="shared" si="15"/>
        <v>4333.5</v>
      </c>
      <c r="AK95">
        <f t="shared" si="16"/>
        <v>0.97252821977424175</v>
      </c>
      <c r="AL95">
        <f t="shared" si="17"/>
        <v>8.4953336530303583E-2</v>
      </c>
      <c r="AM95">
        <f t="shared" si="18"/>
        <v>0.94712570202273871</v>
      </c>
      <c r="AN95">
        <f t="shared" si="19"/>
        <v>-2.7155051120907981E-2</v>
      </c>
      <c r="AO95">
        <f t="shared" si="20"/>
        <v>-8.3297842029740332E-2</v>
      </c>
      <c r="AP95">
        <f t="shared" si="21"/>
        <v>7.1110278973974914E-2</v>
      </c>
      <c r="AQ95">
        <f t="shared" si="22"/>
        <v>0.74462804297565621</v>
      </c>
      <c r="AR95">
        <f t="shared" si="23"/>
        <v>0.70525635794913644</v>
      </c>
    </row>
    <row r="96" spans="1:44" x14ac:dyDescent="0.25">
      <c r="A96">
        <v>94</v>
      </c>
      <c r="B96">
        <v>-32.043332999999997</v>
      </c>
      <c r="C96">
        <v>27.822778</v>
      </c>
      <c r="D96" s="1">
        <v>40672</v>
      </c>
      <c r="H96">
        <v>373</v>
      </c>
      <c r="I96">
        <v>10262</v>
      </c>
      <c r="J96">
        <v>8900</v>
      </c>
      <c r="K96">
        <v>412</v>
      </c>
      <c r="L96">
        <v>9701</v>
      </c>
      <c r="M96">
        <v>39</v>
      </c>
      <c r="N96">
        <v>41800</v>
      </c>
      <c r="O96">
        <v>7962</v>
      </c>
      <c r="P96">
        <v>767</v>
      </c>
      <c r="Q96">
        <v>8900.5</v>
      </c>
      <c r="R96">
        <v>55.5</v>
      </c>
      <c r="S96">
        <v>9782</v>
      </c>
      <c r="T96">
        <v>13707</v>
      </c>
      <c r="U96">
        <v>41800</v>
      </c>
      <c r="V96">
        <v>11963.5</v>
      </c>
      <c r="W96">
        <v>10077</v>
      </c>
      <c r="Y96">
        <v>5440</v>
      </c>
      <c r="AA96">
        <v>9</v>
      </c>
      <c r="AB96">
        <v>0.14372731444782799</v>
      </c>
      <c r="AC96">
        <v>0.21558647447798199</v>
      </c>
      <c r="AD96">
        <v>-8.5094518485472996E-3</v>
      </c>
      <c r="AE96">
        <v>-6.7918427767281506E-2</v>
      </c>
      <c r="AF96">
        <v>-1794.7591499999901</v>
      </c>
      <c r="AG96">
        <f t="shared" si="12"/>
        <v>1.0096717467760845</v>
      </c>
      <c r="AH96">
        <f t="shared" si="13"/>
        <v>0.16672257183814534</v>
      </c>
      <c r="AI96">
        <f t="shared" si="14"/>
        <v>0.16709949337987995</v>
      </c>
      <c r="AJ96">
        <f t="shared" si="15"/>
        <v>3924</v>
      </c>
      <c r="AK96">
        <f t="shared" si="16"/>
        <v>0.87280221784489675</v>
      </c>
      <c r="AL96">
        <f t="shared" si="17"/>
        <v>0.15262361251261353</v>
      </c>
      <c r="AM96">
        <f t="shared" si="18"/>
        <v>0.95322549210680174</v>
      </c>
      <c r="AN96">
        <f t="shared" si="19"/>
        <v>-2.3947315905008981E-2</v>
      </c>
      <c r="AO96">
        <f t="shared" si="20"/>
        <v>-0.1762675020487855</v>
      </c>
      <c r="AP96">
        <f t="shared" si="21"/>
        <v>8.5592432113609035E-2</v>
      </c>
      <c r="AQ96">
        <f t="shared" si="22"/>
        <v>0.74866856350769684</v>
      </c>
      <c r="AR96">
        <f t="shared" si="23"/>
        <v>0.71364995987451663</v>
      </c>
    </row>
    <row r="97" spans="1:44" x14ac:dyDescent="0.25">
      <c r="A97">
        <v>95</v>
      </c>
      <c r="B97">
        <v>-34.096389000000002</v>
      </c>
      <c r="C97">
        <v>24.439167000000001</v>
      </c>
      <c r="D97" s="1">
        <v>42263</v>
      </c>
      <c r="H97">
        <v>277</v>
      </c>
      <c r="I97">
        <v>8101.5</v>
      </c>
      <c r="J97">
        <v>7794</v>
      </c>
      <c r="K97">
        <v>634</v>
      </c>
      <c r="L97">
        <v>9777</v>
      </c>
      <c r="M97">
        <v>47</v>
      </c>
      <c r="O97">
        <v>8544</v>
      </c>
      <c r="P97">
        <v>1243</v>
      </c>
      <c r="Q97">
        <v>8319</v>
      </c>
      <c r="R97">
        <v>184</v>
      </c>
      <c r="S97">
        <v>8290.5</v>
      </c>
      <c r="T97">
        <v>14387</v>
      </c>
      <c r="V97">
        <v>10457.5</v>
      </c>
      <c r="W97">
        <v>8849.5</v>
      </c>
      <c r="Y97">
        <v>21824</v>
      </c>
      <c r="AB97">
        <v>0.27949841029859701</v>
      </c>
      <c r="AC97">
        <v>0.41923829427720199</v>
      </c>
      <c r="AD97">
        <v>-8.8905252822778599E-2</v>
      </c>
      <c r="AE97">
        <v>-0.15816377870353501</v>
      </c>
      <c r="AF97">
        <v>-1102.3273999999999</v>
      </c>
      <c r="AG97">
        <f t="shared" si="12"/>
        <v>3.4596543372963451</v>
      </c>
      <c r="AH97">
        <f t="shared" si="13"/>
        <v>0.32421584923245755</v>
      </c>
      <c r="AI97">
        <f t="shared" si="14"/>
        <v>0.26883474809833535</v>
      </c>
      <c r="AJ97">
        <f t="shared" si="15"/>
        <v>6095.5</v>
      </c>
      <c r="AK97">
        <f t="shared" si="16"/>
        <v>0.72687148119830403</v>
      </c>
      <c r="AL97">
        <f t="shared" si="17"/>
        <v>0.23831041680115336</v>
      </c>
      <c r="AM97">
        <f t="shared" si="18"/>
        <v>1.0233290131457138</v>
      </c>
      <c r="AN97">
        <f t="shared" si="19"/>
        <v>1.1530014641288434E-2</v>
      </c>
      <c r="AO97">
        <f t="shared" si="20"/>
        <v>-0.2503313413093855</v>
      </c>
      <c r="AP97">
        <f t="shared" si="21"/>
        <v>8.3285854871290199E-2</v>
      </c>
      <c r="AQ97">
        <f t="shared" si="22"/>
        <v>0.56311253214707724</v>
      </c>
      <c r="AR97">
        <f t="shared" si="23"/>
        <v>0.57624939181205259</v>
      </c>
    </row>
    <row r="98" spans="1:44" x14ac:dyDescent="0.25">
      <c r="A98">
        <v>96</v>
      </c>
      <c r="B98">
        <v>-33.001666999999998</v>
      </c>
      <c r="C98">
        <v>25.161389</v>
      </c>
      <c r="D98" s="1">
        <v>42040</v>
      </c>
      <c r="H98">
        <v>451.5</v>
      </c>
      <c r="I98">
        <v>11988.5</v>
      </c>
      <c r="J98">
        <v>9675</v>
      </c>
      <c r="K98">
        <v>1284</v>
      </c>
      <c r="L98">
        <v>9715</v>
      </c>
      <c r="M98">
        <v>52</v>
      </c>
      <c r="N98">
        <v>48547.5</v>
      </c>
      <c r="O98">
        <v>9785</v>
      </c>
      <c r="P98">
        <v>2795</v>
      </c>
      <c r="Q98">
        <v>6217</v>
      </c>
      <c r="R98">
        <v>40</v>
      </c>
      <c r="S98">
        <v>10931</v>
      </c>
      <c r="T98">
        <v>13800</v>
      </c>
      <c r="U98">
        <v>48547.5</v>
      </c>
      <c r="V98">
        <v>17729</v>
      </c>
      <c r="W98">
        <v>15495.5</v>
      </c>
      <c r="Y98">
        <v>5440</v>
      </c>
      <c r="AA98">
        <v>9</v>
      </c>
      <c r="AB98">
        <v>7.0244488822537102E-2</v>
      </c>
      <c r="AC98">
        <v>0.105364690371863</v>
      </c>
      <c r="AD98">
        <v>0.11735677022136499</v>
      </c>
      <c r="AE98">
        <v>0.12461543341051</v>
      </c>
      <c r="AF98">
        <v>-7426.0644000000002</v>
      </c>
      <c r="AG98">
        <f t="shared" si="12"/>
        <v>0.34388169634382476</v>
      </c>
      <c r="AH98">
        <f t="shared" si="13"/>
        <v>8.1483101487242832E-2</v>
      </c>
      <c r="AI98">
        <f t="shared" si="14"/>
        <v>0.11600824875662125</v>
      </c>
      <c r="AJ98">
        <f t="shared" si="15"/>
        <v>2868</v>
      </c>
      <c r="AK98">
        <f t="shared" si="16"/>
        <v>1.2847101449275362</v>
      </c>
      <c r="AL98">
        <f t="shared" si="17"/>
        <v>-5.7875782970080732E-2</v>
      </c>
      <c r="AM98">
        <f t="shared" si="18"/>
        <v>0.91179046586311885</v>
      </c>
      <c r="AN98">
        <f t="shared" si="19"/>
        <v>-4.6139749994546127E-2</v>
      </c>
      <c r="AO98">
        <f t="shared" si="20"/>
        <v>0.1879669375357147</v>
      </c>
      <c r="AP98">
        <f t="shared" si="21"/>
        <v>6.7224487953167086E-2</v>
      </c>
      <c r="AQ98">
        <f t="shared" si="22"/>
        <v>0.86873188405797097</v>
      </c>
      <c r="AR98">
        <f t="shared" si="23"/>
        <v>0.7921014492753623</v>
      </c>
    </row>
    <row r="99" spans="1:44" x14ac:dyDescent="0.25">
      <c r="A99">
        <v>97</v>
      </c>
      <c r="B99">
        <v>-32.605277999999998</v>
      </c>
      <c r="C99">
        <v>25.885000000000002</v>
      </c>
      <c r="D99" s="1">
        <v>41470</v>
      </c>
      <c r="H99">
        <v>145.5</v>
      </c>
      <c r="I99">
        <v>10342</v>
      </c>
      <c r="J99">
        <v>8368.5</v>
      </c>
      <c r="K99">
        <v>409</v>
      </c>
      <c r="L99">
        <v>9701</v>
      </c>
      <c r="M99">
        <v>64</v>
      </c>
      <c r="O99">
        <v>8077</v>
      </c>
      <c r="P99">
        <v>761</v>
      </c>
      <c r="Q99">
        <v>8877</v>
      </c>
      <c r="R99">
        <v>5160.5</v>
      </c>
      <c r="S99">
        <v>9698.5</v>
      </c>
      <c r="T99">
        <v>14264</v>
      </c>
      <c r="V99">
        <v>13676.5</v>
      </c>
      <c r="W99">
        <v>11753</v>
      </c>
      <c r="Y99">
        <v>21824</v>
      </c>
      <c r="AB99">
        <v>0.15939201820694099</v>
      </c>
      <c r="AC99">
        <v>0.23908316908134</v>
      </c>
      <c r="AD99">
        <v>2.9709974062720999E-2</v>
      </c>
      <c r="AE99">
        <v>-2.1026824859970199E-2</v>
      </c>
      <c r="AF99">
        <v>-3658.7399500000001</v>
      </c>
      <c r="AG99">
        <f t="shared" si="12"/>
        <v>0.72344271669156845</v>
      </c>
      <c r="AH99">
        <f t="shared" si="13"/>
        <v>0.1848935388536854</v>
      </c>
      <c r="AI99">
        <f t="shared" si="14"/>
        <v>0.19052686489306209</v>
      </c>
      <c r="AJ99">
        <f t="shared" si="15"/>
        <v>4564.5</v>
      </c>
      <c r="AK99">
        <f t="shared" si="16"/>
        <v>0.95881239484015701</v>
      </c>
      <c r="AL99">
        <f t="shared" si="17"/>
        <v>9.6513817888303807E-2</v>
      </c>
      <c r="AM99">
        <f t="shared" si="18"/>
        <v>0.93777799265132467</v>
      </c>
      <c r="AN99">
        <f t="shared" si="19"/>
        <v>-3.2109977295975652E-2</v>
      </c>
      <c r="AO99">
        <f t="shared" si="20"/>
        <v>-0.10753807172683794</v>
      </c>
      <c r="AP99">
        <f t="shared" si="21"/>
        <v>7.5640496274012467E-2</v>
      </c>
      <c r="AQ99">
        <f t="shared" si="22"/>
        <v>0.72504206393718451</v>
      </c>
      <c r="AR99">
        <f t="shared" si="23"/>
        <v>0.67992849130678634</v>
      </c>
    </row>
    <row r="100" spans="1:44" x14ac:dyDescent="0.25">
      <c r="A100">
        <v>98</v>
      </c>
      <c r="B100">
        <v>-32.043332999999997</v>
      </c>
      <c r="C100">
        <v>27.822778</v>
      </c>
      <c r="D100" s="1">
        <v>41064</v>
      </c>
      <c r="H100">
        <v>366.5</v>
      </c>
      <c r="I100">
        <v>10007.5</v>
      </c>
      <c r="J100">
        <v>8942.5</v>
      </c>
      <c r="K100">
        <v>442</v>
      </c>
      <c r="L100">
        <v>9701</v>
      </c>
      <c r="M100">
        <v>39</v>
      </c>
      <c r="N100">
        <v>40739</v>
      </c>
      <c r="O100">
        <v>7590</v>
      </c>
      <c r="P100">
        <v>831</v>
      </c>
      <c r="Q100">
        <v>8841</v>
      </c>
      <c r="R100">
        <v>72.5</v>
      </c>
      <c r="S100">
        <v>9605.5</v>
      </c>
      <c r="T100">
        <v>12183</v>
      </c>
      <c r="U100">
        <v>40739</v>
      </c>
      <c r="V100">
        <v>12027</v>
      </c>
      <c r="W100">
        <v>10416</v>
      </c>
      <c r="Y100">
        <v>5440</v>
      </c>
      <c r="AA100">
        <v>9</v>
      </c>
      <c r="AB100">
        <v>9.8037448457673301E-2</v>
      </c>
      <c r="AC100">
        <v>0.14705285926726999</v>
      </c>
      <c r="AD100">
        <v>2.1061167747914701E-2</v>
      </c>
      <c r="AE100">
        <v>-6.4436183395291001E-3</v>
      </c>
      <c r="AF100">
        <v>-2625.6830500000001</v>
      </c>
      <c r="AG100">
        <f t="shared" si="12"/>
        <v>1.0539702533791968</v>
      </c>
      <c r="AH100">
        <f t="shared" si="13"/>
        <v>0.11372262023752336</v>
      </c>
      <c r="AI100">
        <f t="shared" si="14"/>
        <v>0.11829634899144044</v>
      </c>
      <c r="AJ100">
        <f t="shared" si="15"/>
        <v>2576.5</v>
      </c>
      <c r="AK100">
        <f t="shared" si="16"/>
        <v>0.98719527210046787</v>
      </c>
      <c r="AL100">
        <f t="shared" si="17"/>
        <v>7.8189300411522639E-2</v>
      </c>
      <c r="AM100">
        <f t="shared" si="18"/>
        <v>0.95983012740444662</v>
      </c>
      <c r="AN100">
        <f t="shared" si="19"/>
        <v>-2.0496609391729974E-2</v>
      </c>
      <c r="AO100">
        <f t="shared" si="20"/>
        <v>-5.4655750751023358E-2</v>
      </c>
      <c r="AP100">
        <f t="shared" si="21"/>
        <v>7.1781847346611416E-2</v>
      </c>
      <c r="AQ100">
        <f t="shared" si="22"/>
        <v>0.82143150291389644</v>
      </c>
      <c r="AR100">
        <f t="shared" si="23"/>
        <v>0.78843470409587124</v>
      </c>
    </row>
    <row r="101" spans="1:44" x14ac:dyDescent="0.25">
      <c r="A101">
        <v>99</v>
      </c>
      <c r="B101">
        <v>-32.515278000000002</v>
      </c>
      <c r="C101">
        <v>28.015556</v>
      </c>
      <c r="D101" s="1">
        <v>41652</v>
      </c>
      <c r="H101">
        <v>219</v>
      </c>
      <c r="I101">
        <v>11026.5</v>
      </c>
      <c r="J101">
        <v>8741.5</v>
      </c>
      <c r="K101">
        <v>1217</v>
      </c>
      <c r="L101">
        <v>9823</v>
      </c>
      <c r="M101">
        <v>60</v>
      </c>
      <c r="O101">
        <v>9828.5</v>
      </c>
      <c r="P101">
        <v>2594</v>
      </c>
      <c r="Q101">
        <v>6885</v>
      </c>
      <c r="R101">
        <v>921</v>
      </c>
      <c r="S101">
        <v>10272</v>
      </c>
      <c r="T101">
        <v>15493.5</v>
      </c>
      <c r="V101">
        <v>12746</v>
      </c>
      <c r="W101">
        <v>10389</v>
      </c>
      <c r="Y101">
        <v>21824</v>
      </c>
      <c r="AB101">
        <v>0.168438914027149</v>
      </c>
      <c r="AC101">
        <v>0.25265360758658301</v>
      </c>
      <c r="AD101">
        <v>-9.6339113680153996E-3</v>
      </c>
      <c r="AE101">
        <v>-9.7292799093468302E-2</v>
      </c>
      <c r="AF101">
        <v>-1561.5316499999999</v>
      </c>
      <c r="AG101">
        <f t="shared" si="12"/>
        <v>0.6939675930960556</v>
      </c>
      <c r="AH101">
        <f t="shared" si="13"/>
        <v>0.19538796146026266</v>
      </c>
      <c r="AI101">
        <f t="shared" si="14"/>
        <v>0.20265471269721139</v>
      </c>
      <c r="AJ101">
        <f t="shared" si="15"/>
        <v>5220.5</v>
      </c>
      <c r="AK101">
        <f t="shared" si="16"/>
        <v>0.82266757027140414</v>
      </c>
      <c r="AL101">
        <f t="shared" si="17"/>
        <v>0.19721819762387713</v>
      </c>
      <c r="AM101">
        <f t="shared" si="18"/>
        <v>0.93157393551897705</v>
      </c>
      <c r="AN101">
        <f t="shared" si="19"/>
        <v>-3.542502993168533E-2</v>
      </c>
      <c r="AO101">
        <f t="shared" si="20"/>
        <v>-0.25078453253233413</v>
      </c>
      <c r="AP101">
        <f t="shared" si="21"/>
        <v>0.10188026799221958</v>
      </c>
      <c r="AQ101">
        <f t="shared" si="22"/>
        <v>0.71168554555136021</v>
      </c>
      <c r="AR101">
        <f t="shared" si="23"/>
        <v>0.66298770452125089</v>
      </c>
    </row>
    <row r="102" spans="1:44" x14ac:dyDescent="0.25">
      <c r="A102">
        <v>100</v>
      </c>
      <c r="B102">
        <v>-32.991638889999997</v>
      </c>
      <c r="C102">
        <v>27.64002778</v>
      </c>
      <c r="D102" s="1">
        <v>41424</v>
      </c>
      <c r="H102">
        <v>182.5</v>
      </c>
      <c r="I102">
        <v>9225</v>
      </c>
      <c r="J102">
        <v>8203.5</v>
      </c>
      <c r="K102">
        <v>394</v>
      </c>
      <c r="L102">
        <v>9843.5</v>
      </c>
      <c r="M102">
        <v>47</v>
      </c>
      <c r="O102">
        <v>7962.5</v>
      </c>
      <c r="P102">
        <v>738</v>
      </c>
      <c r="Q102">
        <v>8923</v>
      </c>
      <c r="R102">
        <v>1478.5</v>
      </c>
      <c r="S102">
        <v>9203</v>
      </c>
      <c r="T102">
        <v>16178.5</v>
      </c>
      <c r="V102">
        <v>12425.5</v>
      </c>
      <c r="W102">
        <v>10140.5</v>
      </c>
      <c r="Y102">
        <v>21824</v>
      </c>
      <c r="AB102">
        <v>0.27372212490404801</v>
      </c>
      <c r="AC102">
        <v>0.41057510628247501</v>
      </c>
      <c r="AD102">
        <v>-5.9338510834736298E-2</v>
      </c>
      <c r="AE102">
        <v>-0.13120542581457101</v>
      </c>
      <c r="AF102">
        <v>-1870.3991000000001</v>
      </c>
      <c r="AG102">
        <f t="shared" si="12"/>
        <v>1.7378102116812035</v>
      </c>
      <c r="AH102">
        <f t="shared" si="13"/>
        <v>0.31751566506558504</v>
      </c>
      <c r="AI102">
        <f t="shared" si="14"/>
        <v>0.27482615290664458</v>
      </c>
      <c r="AJ102">
        <f t="shared" si="15"/>
        <v>6974.5</v>
      </c>
      <c r="AK102">
        <f t="shared" si="16"/>
        <v>0.76802546589609666</v>
      </c>
      <c r="AL102">
        <f t="shared" si="17"/>
        <v>0.22941601124662792</v>
      </c>
      <c r="AM102">
        <f t="shared" si="18"/>
        <v>0.99761517615176154</v>
      </c>
      <c r="AN102">
        <f t="shared" si="19"/>
        <v>-1.1938354677664424E-3</v>
      </c>
      <c r="AO102">
        <f t="shared" si="20"/>
        <v>-0.2343650589327636</v>
      </c>
      <c r="AP102">
        <f t="shared" si="21"/>
        <v>0.10125853053265975</v>
      </c>
      <c r="AQ102">
        <f t="shared" si="22"/>
        <v>0.57020119294124916</v>
      </c>
      <c r="AR102">
        <f t="shared" si="23"/>
        <v>0.56884136353802883</v>
      </c>
    </row>
    <row r="103" spans="1:44" x14ac:dyDescent="0.25">
      <c r="A103">
        <v>101</v>
      </c>
      <c r="B103">
        <v>-32.086390000000002</v>
      </c>
      <c r="C103">
        <v>25.575559999999999</v>
      </c>
      <c r="D103" s="1">
        <v>42103</v>
      </c>
      <c r="H103">
        <v>201</v>
      </c>
      <c r="I103">
        <v>10783</v>
      </c>
      <c r="J103">
        <v>8885.5</v>
      </c>
      <c r="K103">
        <v>867</v>
      </c>
      <c r="L103">
        <v>9769</v>
      </c>
      <c r="M103">
        <v>49</v>
      </c>
      <c r="O103">
        <v>9039</v>
      </c>
      <c r="P103">
        <v>1733.5</v>
      </c>
      <c r="Q103">
        <v>7712.5</v>
      </c>
      <c r="R103">
        <v>999</v>
      </c>
      <c r="S103">
        <v>10259.5</v>
      </c>
      <c r="T103">
        <v>15629</v>
      </c>
      <c r="V103">
        <v>12621</v>
      </c>
      <c r="W103">
        <v>10268</v>
      </c>
      <c r="Y103">
        <v>21824</v>
      </c>
      <c r="AB103">
        <v>0.183477207330001</v>
      </c>
      <c r="AC103">
        <v>0.27521060104117301</v>
      </c>
      <c r="AD103">
        <v>-2.31747654872335E-2</v>
      </c>
      <c r="AE103">
        <v>-0.106477876106194</v>
      </c>
      <c r="AF103">
        <v>-1431.8893</v>
      </c>
      <c r="AG103">
        <f t="shared" si="12"/>
        <v>0.88516265731455601</v>
      </c>
      <c r="AH103">
        <f t="shared" si="13"/>
        <v>0.21283227119629744</v>
      </c>
      <c r="AI103">
        <f t="shared" si="14"/>
        <v>0.20740869498039671</v>
      </c>
      <c r="AJ103">
        <f t="shared" si="15"/>
        <v>5368.5</v>
      </c>
      <c r="AK103">
        <f t="shared" si="16"/>
        <v>0.80753727045876256</v>
      </c>
      <c r="AL103">
        <f t="shared" si="17"/>
        <v>0.207012395258138</v>
      </c>
      <c r="AM103">
        <f t="shared" si="18"/>
        <v>0.95145135862005004</v>
      </c>
      <c r="AN103">
        <f t="shared" si="19"/>
        <v>-2.4878222644647736E-2</v>
      </c>
      <c r="AO103">
        <f t="shared" si="20"/>
        <v>-0.24348860799535321</v>
      </c>
      <c r="AP103">
        <f t="shared" si="21"/>
        <v>0.10280047184236969</v>
      </c>
      <c r="AQ103">
        <f t="shared" si="22"/>
        <v>0.68993537654360482</v>
      </c>
      <c r="AR103">
        <f t="shared" si="23"/>
        <v>0.6564399513724487</v>
      </c>
    </row>
    <row r="104" spans="1:44" x14ac:dyDescent="0.25">
      <c r="A104">
        <v>102</v>
      </c>
      <c r="B104">
        <v>-33.731110999999999</v>
      </c>
      <c r="C104">
        <v>24.618333</v>
      </c>
      <c r="D104" s="1">
        <v>41753</v>
      </c>
      <c r="H104">
        <v>269.5</v>
      </c>
      <c r="I104">
        <v>8466</v>
      </c>
      <c r="J104">
        <v>7835.5</v>
      </c>
      <c r="K104">
        <v>593</v>
      </c>
      <c r="L104">
        <v>9718</v>
      </c>
      <c r="M104">
        <v>61</v>
      </c>
      <c r="O104">
        <v>8993.5</v>
      </c>
      <c r="P104">
        <v>1150.5</v>
      </c>
      <c r="Q104">
        <v>8560.5</v>
      </c>
      <c r="R104">
        <v>196.5</v>
      </c>
      <c r="S104">
        <v>8735</v>
      </c>
      <c r="T104">
        <v>15315</v>
      </c>
      <c r="V104">
        <v>11011</v>
      </c>
      <c r="W104">
        <v>9173</v>
      </c>
      <c r="Y104">
        <v>21824</v>
      </c>
      <c r="AB104">
        <v>0.28800302762709701</v>
      </c>
      <c r="AC104">
        <v>0.43199545865483602</v>
      </c>
      <c r="AD104">
        <v>-8.6176763826168498E-2</v>
      </c>
      <c r="AE104">
        <v>-0.163488566436222</v>
      </c>
      <c r="AF104">
        <v>-1113.93155</v>
      </c>
      <c r="AG104">
        <f t="shared" si="12"/>
        <v>2.3309396589864888</v>
      </c>
      <c r="AH104">
        <f t="shared" si="13"/>
        <v>0.33408126432856933</v>
      </c>
      <c r="AI104">
        <f t="shared" si="14"/>
        <v>0.27359667359667361</v>
      </c>
      <c r="AJ104">
        <f t="shared" si="15"/>
        <v>6579</v>
      </c>
      <c r="AK104">
        <f t="shared" si="16"/>
        <v>0.71896833170094676</v>
      </c>
      <c r="AL104">
        <f t="shared" si="17"/>
        <v>0.25081672655994774</v>
      </c>
      <c r="AM104">
        <f t="shared" si="18"/>
        <v>1.0317741554453106</v>
      </c>
      <c r="AN104">
        <f t="shared" si="19"/>
        <v>1.5638625661298762E-2</v>
      </c>
      <c r="AO104">
        <f t="shared" si="20"/>
        <v>-0.25023601861387867</v>
      </c>
      <c r="AP104">
        <f t="shared" si="21"/>
        <v>9.1062227506936183E-2</v>
      </c>
      <c r="AQ104">
        <f t="shared" si="22"/>
        <v>0.55279138099902059</v>
      </c>
      <c r="AR104">
        <f t="shared" si="23"/>
        <v>0.57035586026771135</v>
      </c>
    </row>
    <row r="105" spans="1:44" x14ac:dyDescent="0.25">
      <c r="A105">
        <v>103</v>
      </c>
      <c r="B105">
        <v>-32.000555560000002</v>
      </c>
      <c r="C105">
        <v>28.581666670000001</v>
      </c>
      <c r="D105" s="1">
        <v>41738</v>
      </c>
      <c r="H105">
        <v>217</v>
      </c>
      <c r="I105">
        <v>10545</v>
      </c>
      <c r="J105">
        <v>8981</v>
      </c>
      <c r="K105">
        <v>716.5</v>
      </c>
      <c r="L105">
        <v>9870</v>
      </c>
      <c r="N105">
        <v>43729.5</v>
      </c>
      <c r="O105">
        <v>8725</v>
      </c>
      <c r="P105">
        <v>1433</v>
      </c>
      <c r="Q105">
        <v>8104</v>
      </c>
      <c r="R105">
        <v>735.5</v>
      </c>
      <c r="S105">
        <v>10433</v>
      </c>
      <c r="T105">
        <v>10256.5</v>
      </c>
      <c r="U105">
        <v>43729.5</v>
      </c>
      <c r="V105">
        <v>8827</v>
      </c>
      <c r="W105">
        <v>8500</v>
      </c>
      <c r="X105">
        <v>32</v>
      </c>
      <c r="Y105">
        <v>5504</v>
      </c>
      <c r="AA105">
        <v>10</v>
      </c>
      <c r="AB105">
        <v>-1.38691921255678E-2</v>
      </c>
      <c r="AC105">
        <v>-2.0803288145370601E-2</v>
      </c>
      <c r="AD105">
        <v>3.4835985962003999E-3</v>
      </c>
      <c r="AE105">
        <v>-7.4907642728011106E-2</v>
      </c>
      <c r="AF105">
        <v>214.447149999999</v>
      </c>
      <c r="AG105">
        <f t="shared" si="12"/>
        <v>-0.11689627228525122</v>
      </c>
      <c r="AH105">
        <f t="shared" si="13"/>
        <v>-1.608813911966641E-2</v>
      </c>
      <c r="AI105">
        <f t="shared" si="14"/>
        <v>-8.5308973150631968E-3</v>
      </c>
      <c r="AJ105">
        <f t="shared" si="15"/>
        <v>-177.5</v>
      </c>
      <c r="AK105">
        <f t="shared" si="16"/>
        <v>0.86062496953151657</v>
      </c>
      <c r="AL105">
        <f t="shared" si="17"/>
        <v>9.3647535521019384E-2</v>
      </c>
      <c r="AM105">
        <f t="shared" si="18"/>
        <v>0.98937885253674729</v>
      </c>
      <c r="AN105">
        <f t="shared" si="19"/>
        <v>-5.3389264944227284E-3</v>
      </c>
      <c r="AO105">
        <f t="shared" si="20"/>
        <v>-0.15011019772622325</v>
      </c>
      <c r="AP105">
        <f t="shared" si="21"/>
        <v>1.8872280256247476E-2</v>
      </c>
      <c r="AQ105">
        <f t="shared" si="22"/>
        <v>1.0281285038755912</v>
      </c>
      <c r="AR105">
        <f t="shared" si="23"/>
        <v>1.0172085994247551</v>
      </c>
    </row>
    <row r="106" spans="1:44" x14ac:dyDescent="0.25">
      <c r="A106">
        <v>104</v>
      </c>
      <c r="B106">
        <v>-32.086390000000002</v>
      </c>
      <c r="C106">
        <v>25.575559999999999</v>
      </c>
      <c r="D106" s="1">
        <v>42132</v>
      </c>
      <c r="H106">
        <v>220</v>
      </c>
      <c r="I106">
        <v>10740.5</v>
      </c>
      <c r="J106">
        <v>8863</v>
      </c>
      <c r="K106">
        <v>273</v>
      </c>
      <c r="L106">
        <v>9774.5</v>
      </c>
      <c r="M106">
        <v>49</v>
      </c>
      <c r="N106">
        <v>41163</v>
      </c>
      <c r="O106">
        <v>7757.5</v>
      </c>
      <c r="P106">
        <v>479.5</v>
      </c>
      <c r="Q106">
        <v>9267</v>
      </c>
      <c r="R106">
        <v>843</v>
      </c>
      <c r="S106">
        <v>10038</v>
      </c>
      <c r="T106">
        <v>14327</v>
      </c>
      <c r="U106">
        <v>41163</v>
      </c>
      <c r="V106">
        <v>12965.5</v>
      </c>
      <c r="W106">
        <v>11126</v>
      </c>
      <c r="Y106">
        <v>5440</v>
      </c>
      <c r="AA106">
        <v>8</v>
      </c>
      <c r="AB106">
        <v>0.14307370100728001</v>
      </c>
      <c r="AC106">
        <v>0.214606270943034</v>
      </c>
      <c r="AD106">
        <v>1.1003070624360199E-2</v>
      </c>
      <c r="AE106">
        <v>-4.9885499679399099E-2</v>
      </c>
      <c r="AF106">
        <v>-2572.8780000000002</v>
      </c>
      <c r="AG106">
        <f t="shared" si="12"/>
        <v>0.72905232345407978</v>
      </c>
      <c r="AH106">
        <f t="shared" si="13"/>
        <v>0.16596443385621157</v>
      </c>
      <c r="AI106">
        <f t="shared" si="14"/>
        <v>0.17603119228401395</v>
      </c>
      <c r="AJ106">
        <f t="shared" si="15"/>
        <v>4288</v>
      </c>
      <c r="AK106">
        <f t="shared" si="16"/>
        <v>0.90496963774691142</v>
      </c>
      <c r="AL106">
        <f t="shared" si="17"/>
        <v>0.12576120693042078</v>
      </c>
      <c r="AM106">
        <f t="shared" si="18"/>
        <v>0.93459336157534567</v>
      </c>
      <c r="AN106">
        <f t="shared" si="19"/>
        <v>-3.3808985249175832E-2</v>
      </c>
      <c r="AO106">
        <f t="shared" si="20"/>
        <v>-0.16501442282292311</v>
      </c>
      <c r="AP106">
        <f t="shared" si="21"/>
        <v>7.6354730921694369E-2</v>
      </c>
      <c r="AQ106">
        <f t="shared" si="22"/>
        <v>0.74966845815592942</v>
      </c>
      <c r="AR106">
        <f t="shared" si="23"/>
        <v>0.70063516437495632</v>
      </c>
    </row>
    <row r="107" spans="1:44" x14ac:dyDescent="0.25">
      <c r="A107">
        <v>105</v>
      </c>
      <c r="B107">
        <v>-32.605277999999998</v>
      </c>
      <c r="C107">
        <v>25.885000000000002</v>
      </c>
      <c r="D107" s="1">
        <v>41586</v>
      </c>
      <c r="H107">
        <v>154.5</v>
      </c>
      <c r="I107">
        <v>11122.5</v>
      </c>
      <c r="J107">
        <v>8864.5</v>
      </c>
      <c r="K107">
        <v>478</v>
      </c>
      <c r="L107">
        <v>9703.5</v>
      </c>
      <c r="M107">
        <v>64</v>
      </c>
      <c r="O107">
        <v>10480</v>
      </c>
      <c r="P107">
        <v>884</v>
      </c>
      <c r="Q107">
        <v>8785</v>
      </c>
      <c r="R107">
        <v>10107.5</v>
      </c>
      <c r="S107">
        <v>10603.5</v>
      </c>
      <c r="T107">
        <v>16131</v>
      </c>
      <c r="V107">
        <v>15794.5</v>
      </c>
      <c r="W107">
        <v>13722.5</v>
      </c>
      <c r="Y107">
        <v>21824</v>
      </c>
      <c r="AB107">
        <v>0.18377456106555101</v>
      </c>
      <c r="AC107">
        <v>0.27565678432523599</v>
      </c>
      <c r="AD107">
        <v>3.7014206597640202E-2</v>
      </c>
      <c r="AE107">
        <v>-1.0540163818890801E-2</v>
      </c>
      <c r="AF107">
        <v>-4918.1884499999996</v>
      </c>
      <c r="AG107">
        <f t="shared" si="12"/>
        <v>0.76427143576518697</v>
      </c>
      <c r="AH107">
        <f t="shared" si="13"/>
        <v>0.21317723931391233</v>
      </c>
      <c r="AI107">
        <f t="shared" si="14"/>
        <v>0.20675531616450654</v>
      </c>
      <c r="AJ107">
        <f t="shared" si="15"/>
        <v>5526.5</v>
      </c>
      <c r="AK107">
        <f t="shared" si="16"/>
        <v>0.97913954497551303</v>
      </c>
      <c r="AL107">
        <f t="shared" si="17"/>
        <v>8.0677307518381425E-2</v>
      </c>
      <c r="AM107">
        <f t="shared" si="18"/>
        <v>0.95333782872555628</v>
      </c>
      <c r="AN107">
        <f t="shared" si="19"/>
        <v>-2.3888428610880971E-2</v>
      </c>
      <c r="AO107">
        <f t="shared" si="20"/>
        <v>-6.9806557726424967E-2</v>
      </c>
      <c r="AP107">
        <f t="shared" si="21"/>
        <v>7.0196835721787448E-2</v>
      </c>
      <c r="AQ107">
        <f t="shared" si="22"/>
        <v>0.68951087967267999</v>
      </c>
      <c r="AR107">
        <f t="shared" si="23"/>
        <v>0.65733680490980095</v>
      </c>
    </row>
    <row r="108" spans="1:44" x14ac:dyDescent="0.25">
      <c r="A108">
        <v>106</v>
      </c>
      <c r="B108">
        <v>-33.731110999999999</v>
      </c>
      <c r="C108">
        <v>24.618333</v>
      </c>
      <c r="D108" s="1">
        <v>42071</v>
      </c>
      <c r="H108">
        <v>335.5</v>
      </c>
      <c r="I108">
        <v>8395</v>
      </c>
      <c r="J108">
        <v>8060</v>
      </c>
      <c r="K108">
        <v>1405.5</v>
      </c>
      <c r="L108">
        <v>9640</v>
      </c>
      <c r="M108">
        <v>61</v>
      </c>
      <c r="N108">
        <v>44668.5</v>
      </c>
      <c r="O108">
        <v>8855</v>
      </c>
      <c r="P108">
        <v>3131</v>
      </c>
      <c r="Q108">
        <v>6034</v>
      </c>
      <c r="R108">
        <v>196.5</v>
      </c>
      <c r="S108">
        <v>8483</v>
      </c>
      <c r="T108">
        <v>11480.5</v>
      </c>
      <c r="U108">
        <v>44668.5</v>
      </c>
      <c r="V108">
        <v>9524</v>
      </c>
      <c r="W108">
        <v>8344</v>
      </c>
      <c r="Y108">
        <v>5440</v>
      </c>
      <c r="AA108">
        <v>26</v>
      </c>
      <c r="AB108">
        <v>0.15524137757540599</v>
      </c>
      <c r="AC108">
        <v>0.23285620849265401</v>
      </c>
      <c r="AD108">
        <v>-4.3286749689664797E-2</v>
      </c>
      <c r="AE108">
        <v>-9.3146706658097003E-2</v>
      </c>
      <c r="AF108">
        <v>-1023.21365</v>
      </c>
      <c r="AG108">
        <f t="shared" si="12"/>
        <v>5.5039243667499109</v>
      </c>
      <c r="AH108">
        <f t="shared" si="13"/>
        <v>0.18007854833499867</v>
      </c>
      <c r="AI108">
        <f t="shared" si="14"/>
        <v>0.15014902196508628</v>
      </c>
      <c r="AJ108">
        <f t="shared" si="15"/>
        <v>2996.5</v>
      </c>
      <c r="AK108">
        <f t="shared" si="16"/>
        <v>0.82958059317973953</v>
      </c>
      <c r="AL108">
        <f t="shared" si="17"/>
        <v>0.15821332189966961</v>
      </c>
      <c r="AM108">
        <f t="shared" si="18"/>
        <v>1.0104824300178679</v>
      </c>
      <c r="AN108">
        <f t="shared" si="19"/>
        <v>5.2138879014101197E-3</v>
      </c>
      <c r="AO108">
        <f t="shared" si="20"/>
        <v>-0.16004571826668268</v>
      </c>
      <c r="AP108">
        <f t="shared" si="21"/>
        <v>6.6039847772554283E-2</v>
      </c>
      <c r="AQ108">
        <f t="shared" si="22"/>
        <v>0.73123992857453946</v>
      </c>
      <c r="AR108">
        <f t="shared" si="23"/>
        <v>0.73890509995209264</v>
      </c>
    </row>
    <row r="109" spans="1:44" x14ac:dyDescent="0.25">
      <c r="A109">
        <v>107</v>
      </c>
      <c r="B109">
        <v>-32.991638889999997</v>
      </c>
      <c r="C109">
        <v>27.64002778</v>
      </c>
      <c r="D109" s="1">
        <v>41786</v>
      </c>
      <c r="H109">
        <v>213.5</v>
      </c>
      <c r="I109">
        <v>9225</v>
      </c>
      <c r="J109">
        <v>8308.5</v>
      </c>
      <c r="K109">
        <v>520</v>
      </c>
      <c r="L109">
        <v>9840</v>
      </c>
      <c r="M109">
        <v>47</v>
      </c>
      <c r="O109">
        <v>7866.5</v>
      </c>
      <c r="P109">
        <v>1000</v>
      </c>
      <c r="Q109">
        <v>8560</v>
      </c>
      <c r="R109">
        <v>800.5</v>
      </c>
      <c r="S109">
        <v>9282</v>
      </c>
      <c r="T109">
        <v>16464.5</v>
      </c>
      <c r="V109">
        <v>12373</v>
      </c>
      <c r="W109">
        <v>9781</v>
      </c>
      <c r="Y109">
        <v>21824</v>
      </c>
      <c r="AB109">
        <v>0.28180774246287299</v>
      </c>
      <c r="AC109">
        <v>0.42270338653172401</v>
      </c>
      <c r="AD109">
        <v>-6.8469517586422501E-2</v>
      </c>
      <c r="AE109">
        <v>-0.141881231035977</v>
      </c>
      <c r="AF109">
        <v>-1540.2464</v>
      </c>
      <c r="AG109">
        <f t="shared" si="12"/>
        <v>1.9047806982924198</v>
      </c>
      <c r="AH109">
        <f t="shared" si="13"/>
        <v>0.32689494528148677</v>
      </c>
      <c r="AI109">
        <f t="shared" si="14"/>
        <v>0.27896995708154504</v>
      </c>
      <c r="AJ109">
        <f t="shared" si="15"/>
        <v>7181.5</v>
      </c>
      <c r="AK109">
        <f t="shared" si="16"/>
        <v>0.75149564213914788</v>
      </c>
      <c r="AL109">
        <f t="shared" si="17"/>
        <v>0.25465317864014786</v>
      </c>
      <c r="AM109">
        <f t="shared" si="18"/>
        <v>1.0061788617886178</v>
      </c>
      <c r="AN109">
        <f t="shared" si="19"/>
        <v>3.0799157075701088E-3</v>
      </c>
      <c r="AO109">
        <f t="shared" si="20"/>
        <v>-0.24236343995522835</v>
      </c>
      <c r="AP109">
        <f t="shared" si="21"/>
        <v>0.11699918750564232</v>
      </c>
      <c r="AQ109">
        <f t="shared" si="22"/>
        <v>0.56029639527468189</v>
      </c>
      <c r="AR109">
        <f t="shared" si="23"/>
        <v>0.56375838926174493</v>
      </c>
    </row>
    <row r="110" spans="1:44" x14ac:dyDescent="0.25">
      <c r="A110">
        <v>108</v>
      </c>
      <c r="B110">
        <v>-32.515278000000002</v>
      </c>
      <c r="C110">
        <v>28.015556</v>
      </c>
      <c r="D110" s="1">
        <v>40700</v>
      </c>
      <c r="H110">
        <v>223</v>
      </c>
      <c r="I110">
        <v>10028.5</v>
      </c>
      <c r="J110">
        <v>8471.5</v>
      </c>
      <c r="K110">
        <v>398</v>
      </c>
      <c r="L110">
        <v>9769.5</v>
      </c>
      <c r="M110">
        <v>60</v>
      </c>
      <c r="N110">
        <v>40424.5</v>
      </c>
      <c r="O110">
        <v>7441</v>
      </c>
      <c r="P110">
        <v>739</v>
      </c>
      <c r="Q110">
        <v>8861</v>
      </c>
      <c r="R110">
        <v>608.5</v>
      </c>
      <c r="S110">
        <v>9291</v>
      </c>
      <c r="T110">
        <v>12269</v>
      </c>
      <c r="U110">
        <v>40424.5</v>
      </c>
      <c r="V110">
        <v>10075</v>
      </c>
      <c r="W110">
        <v>8627</v>
      </c>
      <c r="X110">
        <v>0.5</v>
      </c>
      <c r="Y110">
        <v>5440</v>
      </c>
      <c r="AA110">
        <v>9</v>
      </c>
      <c r="AB110">
        <v>0.10048211682924001</v>
      </c>
      <c r="AC110">
        <v>0.15071979549735401</v>
      </c>
      <c r="AD110">
        <v>-1.5595925962197599E-2</v>
      </c>
      <c r="AE110">
        <v>-9.8191908342284195E-2</v>
      </c>
      <c r="AF110">
        <v>-517.86400000000003</v>
      </c>
      <c r="AG110">
        <f t="shared" si="12"/>
        <v>0.62901822061259438</v>
      </c>
      <c r="AH110">
        <f t="shared" si="13"/>
        <v>0.1165584191345639</v>
      </c>
      <c r="AI110">
        <f t="shared" si="14"/>
        <v>0.13812615955473098</v>
      </c>
      <c r="AJ110">
        <f t="shared" si="15"/>
        <v>2977</v>
      </c>
      <c r="AK110">
        <f t="shared" si="16"/>
        <v>0.82117531991197323</v>
      </c>
      <c r="AL110">
        <f t="shared" si="17"/>
        <v>0.17429173047473201</v>
      </c>
      <c r="AM110">
        <f t="shared" si="18"/>
        <v>0.92645959016802115</v>
      </c>
      <c r="AN110">
        <f t="shared" si="19"/>
        <v>-3.8173865783275966E-2</v>
      </c>
      <c r="AO110">
        <f t="shared" si="20"/>
        <v>-0.258202572672248</v>
      </c>
      <c r="AP110">
        <f t="shared" si="21"/>
        <v>7.7424874344989847E-2</v>
      </c>
      <c r="AQ110">
        <f t="shared" si="22"/>
        <v>0.81738527997391797</v>
      </c>
      <c r="AR110">
        <f t="shared" si="23"/>
        <v>0.7572744314940093</v>
      </c>
    </row>
    <row r="111" spans="1:44" x14ac:dyDescent="0.25">
      <c r="A111">
        <v>109</v>
      </c>
      <c r="B111">
        <v>-32.605277999999998</v>
      </c>
      <c r="C111">
        <v>25.885000000000002</v>
      </c>
      <c r="D111" s="1">
        <v>41444</v>
      </c>
      <c r="H111">
        <v>207</v>
      </c>
      <c r="I111">
        <v>10351.5</v>
      </c>
      <c r="J111">
        <v>9014.5</v>
      </c>
      <c r="K111">
        <v>389</v>
      </c>
      <c r="L111">
        <v>9709.5</v>
      </c>
      <c r="M111">
        <v>64</v>
      </c>
      <c r="N111">
        <v>42211.5</v>
      </c>
      <c r="O111">
        <v>8111</v>
      </c>
      <c r="P111">
        <v>723</v>
      </c>
      <c r="Q111">
        <v>8967</v>
      </c>
      <c r="R111">
        <v>1131</v>
      </c>
      <c r="S111">
        <v>9949</v>
      </c>
      <c r="T111">
        <v>14411</v>
      </c>
      <c r="U111">
        <v>42211.5</v>
      </c>
      <c r="V111">
        <v>13624</v>
      </c>
      <c r="W111">
        <v>11672.5</v>
      </c>
      <c r="Y111">
        <v>5440</v>
      </c>
      <c r="AA111">
        <v>9</v>
      </c>
      <c r="AB111">
        <v>0.16393740535083201</v>
      </c>
      <c r="AC111">
        <v>0.245901142834066</v>
      </c>
      <c r="AD111">
        <v>1.1603130735638401E-2</v>
      </c>
      <c r="AE111">
        <v>-2.8072052791153899E-2</v>
      </c>
      <c r="AF111">
        <v>-3384.43975</v>
      </c>
      <c r="AG111">
        <f t="shared" si="12"/>
        <v>1.1387416196807765</v>
      </c>
      <c r="AH111">
        <f t="shared" si="13"/>
        <v>0.19016616147053667</v>
      </c>
      <c r="AI111">
        <f t="shared" si="14"/>
        <v>0.18316912972085386</v>
      </c>
      <c r="AJ111">
        <f t="shared" si="15"/>
        <v>4461</v>
      </c>
      <c r="AK111">
        <f t="shared" si="16"/>
        <v>0.94538893900492682</v>
      </c>
      <c r="AL111">
        <f t="shared" si="17"/>
        <v>0.1049897444744762</v>
      </c>
      <c r="AM111">
        <f t="shared" si="18"/>
        <v>0.96111674636526112</v>
      </c>
      <c r="AN111">
        <f t="shared" si="19"/>
        <v>-1.9827097854732641E-2</v>
      </c>
      <c r="AO111">
        <f t="shared" si="20"/>
        <v>-9.5067388264145514E-2</v>
      </c>
      <c r="AP111">
        <f t="shared" si="21"/>
        <v>7.714505959322436E-2</v>
      </c>
      <c r="AQ111">
        <f t="shared" si="22"/>
        <v>0.7183054611060995</v>
      </c>
      <c r="AR111">
        <f t="shared" si="23"/>
        <v>0.69037540767469296</v>
      </c>
    </row>
    <row r="112" spans="1:44" x14ac:dyDescent="0.25">
      <c r="A112">
        <v>110</v>
      </c>
      <c r="B112">
        <v>-32.043332999999997</v>
      </c>
      <c r="C112">
        <v>27.822778</v>
      </c>
      <c r="D112" s="1">
        <v>41568</v>
      </c>
      <c r="H112">
        <v>170</v>
      </c>
      <c r="I112">
        <v>11418.5</v>
      </c>
      <c r="J112">
        <v>9586</v>
      </c>
      <c r="K112">
        <v>934</v>
      </c>
      <c r="L112">
        <v>9701</v>
      </c>
      <c r="M112">
        <v>39</v>
      </c>
      <c r="N112">
        <v>45785</v>
      </c>
      <c r="O112">
        <v>9227</v>
      </c>
      <c r="P112">
        <v>1910</v>
      </c>
      <c r="Q112">
        <v>7410</v>
      </c>
      <c r="R112">
        <v>2376</v>
      </c>
      <c r="S112">
        <v>10715.5</v>
      </c>
      <c r="T112">
        <v>14253</v>
      </c>
      <c r="U112">
        <v>45785</v>
      </c>
      <c r="V112">
        <v>13934</v>
      </c>
      <c r="W112">
        <v>11753</v>
      </c>
      <c r="Y112">
        <v>5440</v>
      </c>
      <c r="AA112">
        <v>8</v>
      </c>
      <c r="AB112">
        <v>0.11041427263697</v>
      </c>
      <c r="AC112">
        <v>0.16561818323465199</v>
      </c>
      <c r="AD112">
        <v>3.0767510647164601E-2</v>
      </c>
      <c r="AE112">
        <v>-1.1317273920601599E-2</v>
      </c>
      <c r="AF112">
        <v>-3107.7170999999898</v>
      </c>
      <c r="AG112">
        <f t="shared" si="12"/>
        <v>0.65190892364305431</v>
      </c>
      <c r="AH112">
        <f t="shared" si="13"/>
        <v>0.12807975798993909</v>
      </c>
      <c r="AI112">
        <f t="shared" si="14"/>
        <v>0.14167851492881031</v>
      </c>
      <c r="AJ112">
        <f t="shared" si="15"/>
        <v>3536.5</v>
      </c>
      <c r="AK112">
        <f t="shared" si="16"/>
        <v>0.97761874693047079</v>
      </c>
      <c r="AL112">
        <f t="shared" si="17"/>
        <v>9.6131661924171344E-2</v>
      </c>
      <c r="AM112">
        <f t="shared" si="18"/>
        <v>0.9384332442965363</v>
      </c>
      <c r="AN112">
        <f t="shared" si="19"/>
        <v>-3.1761091533387548E-2</v>
      </c>
      <c r="AO112">
        <f t="shared" si="20"/>
        <v>-8.7987151067756009E-2</v>
      </c>
      <c r="AP112">
        <f t="shared" si="21"/>
        <v>8.4906762175419467E-2</v>
      </c>
      <c r="AQ112">
        <f t="shared" si="22"/>
        <v>0.80112958675366586</v>
      </c>
      <c r="AR112">
        <f t="shared" si="23"/>
        <v>0.75180663719918617</v>
      </c>
    </row>
    <row r="113" spans="1:44" x14ac:dyDescent="0.25">
      <c r="A113">
        <v>111</v>
      </c>
      <c r="B113">
        <v>-31.905000000000001</v>
      </c>
      <c r="C113">
        <v>25.43</v>
      </c>
      <c r="D113" s="1">
        <v>41527</v>
      </c>
      <c r="H113">
        <v>160</v>
      </c>
      <c r="I113">
        <v>10034</v>
      </c>
      <c r="J113">
        <v>8542</v>
      </c>
      <c r="K113">
        <v>316</v>
      </c>
      <c r="L113">
        <v>9663.5</v>
      </c>
      <c r="M113">
        <v>82</v>
      </c>
      <c r="O113">
        <v>9822.5</v>
      </c>
      <c r="P113">
        <v>563</v>
      </c>
      <c r="Q113">
        <v>9189</v>
      </c>
      <c r="R113">
        <v>3072.5</v>
      </c>
      <c r="S113">
        <v>9729.5</v>
      </c>
      <c r="T113">
        <v>12732</v>
      </c>
      <c r="V113">
        <v>13825</v>
      </c>
      <c r="W113">
        <v>11978</v>
      </c>
      <c r="Y113">
        <v>21824</v>
      </c>
      <c r="AB113">
        <v>0.118510058859703</v>
      </c>
      <c r="AC113">
        <v>0.177761184196077</v>
      </c>
      <c r="AD113">
        <v>5.7275164513770398E-2</v>
      </c>
      <c r="AE113">
        <v>4.1156757163836197E-2</v>
      </c>
      <c r="AF113">
        <v>-4457.7415499999997</v>
      </c>
      <c r="AG113">
        <f t="shared" si="12"/>
        <v>0.7602569882777277</v>
      </c>
      <c r="AH113">
        <f t="shared" si="13"/>
        <v>0.13747070212982776</v>
      </c>
      <c r="AI113">
        <f t="shared" si="14"/>
        <v>0.13367317409790086</v>
      </c>
      <c r="AJ113">
        <f t="shared" si="15"/>
        <v>3001.5</v>
      </c>
      <c r="AK113">
        <f t="shared" si="16"/>
        <v>1.0858466855168081</v>
      </c>
      <c r="AL113">
        <f t="shared" si="17"/>
        <v>3.0513961958721164E-2</v>
      </c>
      <c r="AM113">
        <f t="shared" si="18"/>
        <v>0.96965317919075145</v>
      </c>
      <c r="AN113">
        <f t="shared" si="19"/>
        <v>-1.5407190022010272E-2</v>
      </c>
      <c r="AO113">
        <f t="shared" si="20"/>
        <v>5.4550113236629283E-2</v>
      </c>
      <c r="AP113">
        <f t="shared" si="21"/>
        <v>7.1580823935201335E-2</v>
      </c>
      <c r="AQ113">
        <f t="shared" si="22"/>
        <v>0.78809299403078859</v>
      </c>
      <c r="AR113">
        <f t="shared" si="23"/>
        <v>0.764176877159912</v>
      </c>
    </row>
    <row r="114" spans="1:44" x14ac:dyDescent="0.25">
      <c r="A114">
        <v>112</v>
      </c>
      <c r="B114">
        <v>-32.991638889999997</v>
      </c>
      <c r="C114">
        <v>27.64002778</v>
      </c>
      <c r="D114" s="1">
        <v>40932</v>
      </c>
      <c r="H114">
        <v>-9999</v>
      </c>
      <c r="K114">
        <v>-9999</v>
      </c>
      <c r="L114">
        <v>-9999</v>
      </c>
      <c r="M114">
        <v>-9999</v>
      </c>
      <c r="O114">
        <v>-9999</v>
      </c>
      <c r="P114">
        <v>-9999</v>
      </c>
      <c r="Q114">
        <v>-9999</v>
      </c>
      <c r="R114">
        <v>-9999</v>
      </c>
      <c r="Y114">
        <v>1</v>
      </c>
      <c r="AA114">
        <v>-9999</v>
      </c>
    </row>
    <row r="115" spans="1:44" x14ac:dyDescent="0.25">
      <c r="A115">
        <v>113</v>
      </c>
      <c r="B115">
        <v>-32.043332999999997</v>
      </c>
      <c r="C115">
        <v>27.822778</v>
      </c>
      <c r="D115" s="1">
        <v>41736</v>
      </c>
      <c r="H115">
        <v>365</v>
      </c>
      <c r="I115">
        <v>9142.5</v>
      </c>
      <c r="J115">
        <v>8453</v>
      </c>
      <c r="K115">
        <v>486</v>
      </c>
      <c r="L115">
        <v>9701</v>
      </c>
      <c r="M115">
        <v>39</v>
      </c>
      <c r="N115">
        <v>43528</v>
      </c>
      <c r="O115">
        <v>8669</v>
      </c>
      <c r="P115">
        <v>923.5</v>
      </c>
      <c r="Q115">
        <v>8749</v>
      </c>
      <c r="R115">
        <v>50.5</v>
      </c>
      <c r="S115">
        <v>9234.5</v>
      </c>
      <c r="T115">
        <v>13491.5</v>
      </c>
      <c r="U115">
        <v>43528</v>
      </c>
      <c r="V115">
        <v>11029</v>
      </c>
      <c r="W115">
        <v>9418.5</v>
      </c>
      <c r="Y115">
        <v>5440</v>
      </c>
      <c r="AA115">
        <v>8</v>
      </c>
      <c r="AB115">
        <v>0.19214456127949101</v>
      </c>
      <c r="AC115">
        <v>0.28821047515960102</v>
      </c>
      <c r="AD115">
        <v>-4.2098015006173398E-2</v>
      </c>
      <c r="AE115">
        <v>-0.10042617401765799</v>
      </c>
      <c r="AF115">
        <v>-1445.9815000000001</v>
      </c>
      <c r="AG115">
        <f t="shared" si="12"/>
        <v>2.1964646464646465</v>
      </c>
      <c r="AH115">
        <f t="shared" si="13"/>
        <v>0.22288611549975784</v>
      </c>
      <c r="AI115">
        <f t="shared" si="14"/>
        <v>0.18731848983543078</v>
      </c>
      <c r="AJ115">
        <f t="shared" si="15"/>
        <v>4256</v>
      </c>
      <c r="AK115">
        <f t="shared" si="16"/>
        <v>0.81747767112626468</v>
      </c>
      <c r="AL115">
        <f t="shared" si="17"/>
        <v>0.17778262767350503</v>
      </c>
      <c r="AM115">
        <f t="shared" si="18"/>
        <v>1.010062893081761</v>
      </c>
      <c r="AN115">
        <f t="shared" si="19"/>
        <v>5.0062578222778474E-3</v>
      </c>
      <c r="AO115">
        <f t="shared" si="20"/>
        <v>-0.17255968877410888</v>
      </c>
      <c r="AP115">
        <f t="shared" si="21"/>
        <v>7.8762684924807438E-2</v>
      </c>
      <c r="AQ115">
        <f t="shared" si="22"/>
        <v>0.67764889004187823</v>
      </c>
      <c r="AR115">
        <f t="shared" si="23"/>
        <v>0.68446799836934369</v>
      </c>
    </row>
    <row r="116" spans="1:44" x14ac:dyDescent="0.25">
      <c r="A116">
        <v>114</v>
      </c>
      <c r="B116">
        <v>-32.000555560000002</v>
      </c>
      <c r="C116">
        <v>28.581666670000001</v>
      </c>
      <c r="D116" s="1">
        <v>40730</v>
      </c>
      <c r="H116">
        <v>339</v>
      </c>
      <c r="I116">
        <v>11769</v>
      </c>
      <c r="J116">
        <v>9954</v>
      </c>
      <c r="K116">
        <v>630</v>
      </c>
      <c r="L116">
        <v>9871</v>
      </c>
      <c r="N116">
        <v>40491</v>
      </c>
      <c r="O116">
        <v>7404</v>
      </c>
      <c r="P116">
        <v>1238.5</v>
      </c>
      <c r="Q116">
        <v>8150.5</v>
      </c>
      <c r="R116">
        <v>111.5</v>
      </c>
      <c r="S116">
        <v>11229</v>
      </c>
      <c r="T116">
        <v>10754</v>
      </c>
      <c r="U116">
        <v>40491</v>
      </c>
      <c r="V116">
        <v>9285.5</v>
      </c>
      <c r="W116">
        <v>8738.5</v>
      </c>
      <c r="X116">
        <v>32</v>
      </c>
      <c r="Y116">
        <v>5504</v>
      </c>
      <c r="AA116">
        <v>18</v>
      </c>
      <c r="AB116">
        <v>-4.5065044621053998E-2</v>
      </c>
      <c r="AC116">
        <v>-6.7596066330721197E-2</v>
      </c>
      <c r="AD116">
        <v>8.2969170906913997E-3</v>
      </c>
      <c r="AE116">
        <v>-7.3280271463858807E-2</v>
      </c>
      <c r="AF116">
        <v>654.80909999999903</v>
      </c>
      <c r="AG116">
        <f t="shared" si="12"/>
        <v>-0.37794161453678882</v>
      </c>
      <c r="AH116">
        <f t="shared" si="13"/>
        <v>-5.2275080406124178E-2</v>
      </c>
      <c r="AI116">
        <f t="shared" si="14"/>
        <v>-2.1607605877268798E-2</v>
      </c>
      <c r="AJ116">
        <f t="shared" si="15"/>
        <v>-476</v>
      </c>
      <c r="AK116">
        <f t="shared" si="16"/>
        <v>0.86344615956853266</v>
      </c>
      <c r="AL116">
        <f t="shared" si="17"/>
        <v>0.10339874310632294</v>
      </c>
      <c r="AM116">
        <f t="shared" si="18"/>
        <v>0.95411674738720365</v>
      </c>
      <c r="AN116">
        <f t="shared" si="19"/>
        <v>-2.3480302635011739E-2</v>
      </c>
      <c r="AO116">
        <f t="shared" si="20"/>
        <v>-0.18464360799759072</v>
      </c>
      <c r="AP116">
        <f t="shared" si="21"/>
        <v>3.0348424323124724E-2</v>
      </c>
      <c r="AQ116">
        <f t="shared" si="22"/>
        <v>1.0943834852148038</v>
      </c>
      <c r="AR116">
        <f t="shared" si="23"/>
        <v>1.0441696113074206</v>
      </c>
    </row>
    <row r="117" spans="1:44" x14ac:dyDescent="0.25">
      <c r="A117">
        <v>115</v>
      </c>
      <c r="B117">
        <v>-33.185361110000002</v>
      </c>
      <c r="C117">
        <v>27.390750000000001</v>
      </c>
      <c r="D117" s="1">
        <v>42275</v>
      </c>
      <c r="H117">
        <v>-9999</v>
      </c>
      <c r="K117">
        <v>-9999</v>
      </c>
      <c r="L117">
        <v>-9999</v>
      </c>
      <c r="M117">
        <v>-9999</v>
      </c>
      <c r="O117">
        <v>-9999</v>
      </c>
      <c r="P117">
        <v>-9999</v>
      </c>
      <c r="Q117">
        <v>-9999</v>
      </c>
      <c r="R117">
        <v>-9999</v>
      </c>
      <c r="Y117">
        <v>1</v>
      </c>
      <c r="AA117">
        <v>-9999</v>
      </c>
    </row>
    <row r="118" spans="1:44" x14ac:dyDescent="0.25">
      <c r="A118">
        <v>116</v>
      </c>
      <c r="B118">
        <v>-32.605277999999998</v>
      </c>
      <c r="C118">
        <v>25.885000000000002</v>
      </c>
      <c r="D118" s="1">
        <v>41527</v>
      </c>
      <c r="H118">
        <v>152.5</v>
      </c>
      <c r="I118">
        <v>11474</v>
      </c>
      <c r="J118">
        <v>9100</v>
      </c>
      <c r="K118">
        <v>452</v>
      </c>
      <c r="L118">
        <v>9701</v>
      </c>
      <c r="M118">
        <v>64</v>
      </c>
      <c r="O118">
        <v>10022.5</v>
      </c>
      <c r="P118">
        <v>849</v>
      </c>
      <c r="Q118">
        <v>8819</v>
      </c>
      <c r="R118">
        <v>5450</v>
      </c>
      <c r="S118">
        <v>10455.5</v>
      </c>
      <c r="T118">
        <v>14749</v>
      </c>
      <c r="V118">
        <v>16345</v>
      </c>
      <c r="W118">
        <v>14205</v>
      </c>
      <c r="Y118">
        <v>21824</v>
      </c>
      <c r="AB118">
        <v>0.124890363421423</v>
      </c>
      <c r="AC118">
        <v>0.18733197323011799</v>
      </c>
      <c r="AD118">
        <v>7.68367267941472E-2</v>
      </c>
      <c r="AE118">
        <v>5.1328230526789698E-2</v>
      </c>
      <c r="AF118">
        <v>-5879.0173500000001</v>
      </c>
      <c r="AG118">
        <f t="shared" si="12"/>
        <v>0.53359619395203339</v>
      </c>
      <c r="AH118">
        <f t="shared" si="13"/>
        <v>0.14487193763070505</v>
      </c>
      <c r="AI118">
        <f t="shared" si="14"/>
        <v>0.17034656509750243</v>
      </c>
      <c r="AJ118">
        <f t="shared" si="15"/>
        <v>4292.5</v>
      </c>
      <c r="AK118">
        <f t="shared" si="16"/>
        <v>1.1082107261509255</v>
      </c>
      <c r="AL118">
        <f t="shared" si="17"/>
        <v>1.8788423015818196E-2</v>
      </c>
      <c r="AM118">
        <f t="shared" si="18"/>
        <v>0.91123409447446402</v>
      </c>
      <c r="AN118">
        <f t="shared" si="19"/>
        <v>-4.6444287375453155E-2</v>
      </c>
      <c r="AO118">
        <f t="shared" si="20"/>
        <v>1.0797881236765505E-2</v>
      </c>
      <c r="AP118">
        <f t="shared" si="21"/>
        <v>7.0049099836333881E-2</v>
      </c>
      <c r="AQ118">
        <f t="shared" si="22"/>
        <v>0.77795104752864597</v>
      </c>
      <c r="AR118">
        <f t="shared" si="23"/>
        <v>0.70889551834022646</v>
      </c>
    </row>
    <row r="119" spans="1:44" x14ac:dyDescent="0.25">
      <c r="A119">
        <v>117</v>
      </c>
      <c r="B119">
        <v>-31.905000000000001</v>
      </c>
      <c r="C119">
        <v>25.43</v>
      </c>
      <c r="D119" s="1">
        <v>41500</v>
      </c>
      <c r="H119">
        <v>486</v>
      </c>
      <c r="I119">
        <v>9793</v>
      </c>
      <c r="J119">
        <v>8628.5</v>
      </c>
      <c r="K119">
        <v>187</v>
      </c>
      <c r="L119">
        <v>9663.5</v>
      </c>
      <c r="M119">
        <v>82</v>
      </c>
      <c r="O119">
        <v>7740</v>
      </c>
      <c r="P119">
        <v>306</v>
      </c>
      <c r="Q119">
        <v>9497</v>
      </c>
      <c r="R119">
        <v>26</v>
      </c>
      <c r="S119">
        <v>9670</v>
      </c>
      <c r="T119">
        <v>12135.5</v>
      </c>
      <c r="V119">
        <v>13138</v>
      </c>
      <c r="W119">
        <v>11553</v>
      </c>
      <c r="Y119">
        <v>21824</v>
      </c>
      <c r="AB119">
        <v>0.106824452196912</v>
      </c>
      <c r="AC119">
        <v>0.16023302476173101</v>
      </c>
      <c r="AD119">
        <v>4.9593775031468099E-2</v>
      </c>
      <c r="AE119">
        <v>3.9666053376065803E-2</v>
      </c>
      <c r="AF119">
        <v>-4056.0632000000001</v>
      </c>
      <c r="AG119">
        <f t="shared" si="12"/>
        <v>0.94749828095295874</v>
      </c>
      <c r="AH119">
        <f t="shared" si="13"/>
        <v>0.12391546040660942</v>
      </c>
      <c r="AI119">
        <f t="shared" si="14"/>
        <v>0.11306780399440508</v>
      </c>
      <c r="AJ119">
        <f t="shared" si="15"/>
        <v>2464.5</v>
      </c>
      <c r="AK119">
        <f t="shared" si="16"/>
        <v>1.0826088747888427</v>
      </c>
      <c r="AL119">
        <f t="shared" si="17"/>
        <v>2.4589990923866011E-2</v>
      </c>
      <c r="AM119">
        <f t="shared" si="18"/>
        <v>0.98744000816910038</v>
      </c>
      <c r="AN119">
        <f t="shared" si="19"/>
        <v>-6.3196835020294922E-3</v>
      </c>
      <c r="AO119">
        <f t="shared" si="20"/>
        <v>6.9889122979121865E-2</v>
      </c>
      <c r="AP119">
        <f t="shared" si="21"/>
        <v>6.4193430804746668E-2</v>
      </c>
      <c r="AQ119">
        <f t="shared" si="22"/>
        <v>0.80697128260063455</v>
      </c>
      <c r="AR119">
        <f t="shared" si="23"/>
        <v>0.7968357298833999</v>
      </c>
    </row>
    <row r="120" spans="1:44" x14ac:dyDescent="0.25">
      <c r="A120">
        <v>118</v>
      </c>
      <c r="B120">
        <v>-33.185361110000002</v>
      </c>
      <c r="C120">
        <v>27.390750000000001</v>
      </c>
      <c r="D120" s="1">
        <v>41842</v>
      </c>
      <c r="H120">
        <v>215</v>
      </c>
      <c r="I120">
        <v>8757</v>
      </c>
      <c r="J120">
        <v>7943.5</v>
      </c>
      <c r="K120">
        <v>634</v>
      </c>
      <c r="L120">
        <v>9718</v>
      </c>
      <c r="M120">
        <v>80</v>
      </c>
      <c r="O120">
        <v>8092.5</v>
      </c>
      <c r="P120">
        <v>1245</v>
      </c>
      <c r="Q120">
        <v>8194</v>
      </c>
      <c r="R120">
        <v>550.5</v>
      </c>
      <c r="S120">
        <v>8912.5</v>
      </c>
      <c r="T120">
        <v>16256.5</v>
      </c>
      <c r="V120">
        <v>11946.5</v>
      </c>
      <c r="W120">
        <v>9649.5</v>
      </c>
      <c r="Y120">
        <v>21824</v>
      </c>
      <c r="AB120">
        <v>0.29981809822695699</v>
      </c>
      <c r="AC120">
        <v>0.44971815783161401</v>
      </c>
      <c r="AD120">
        <v>-7.7866981415702502E-2</v>
      </c>
      <c r="AE120">
        <v>-0.15282062191965301</v>
      </c>
      <c r="AF120">
        <v>-1529.31935</v>
      </c>
      <c r="AG120">
        <f t="shared" si="12"/>
        <v>2.0327704442577184</v>
      </c>
      <c r="AH120">
        <f t="shared" si="13"/>
        <v>0.34778676930924945</v>
      </c>
      <c r="AI120">
        <f t="shared" si="14"/>
        <v>0.29178751638920897</v>
      </c>
      <c r="AJ120">
        <f t="shared" si="15"/>
        <v>7343</v>
      </c>
      <c r="AK120">
        <f t="shared" si="16"/>
        <v>0.73487528065696794</v>
      </c>
      <c r="AL120">
        <f t="shared" si="17"/>
        <v>0.255037443063383</v>
      </c>
      <c r="AM120">
        <f t="shared" si="18"/>
        <v>1.0177572227931939</v>
      </c>
      <c r="AN120">
        <f t="shared" si="19"/>
        <v>8.8004753954554465E-3</v>
      </c>
      <c r="AO120">
        <f t="shared" si="20"/>
        <v>-0.24767731401343884</v>
      </c>
      <c r="AP120">
        <f t="shared" si="21"/>
        <v>0.10636228931283571</v>
      </c>
      <c r="AQ120">
        <f t="shared" si="22"/>
        <v>0.53867683695752466</v>
      </c>
      <c r="AR120">
        <f t="shared" si="23"/>
        <v>0.54824224156491252</v>
      </c>
    </row>
    <row r="121" spans="1:44" x14ac:dyDescent="0.25">
      <c r="A121">
        <v>119</v>
      </c>
      <c r="B121">
        <v>-32.043332999999997</v>
      </c>
      <c r="C121">
        <v>27.822778</v>
      </c>
      <c r="D121" s="1">
        <v>41036</v>
      </c>
      <c r="H121">
        <v>-9999</v>
      </c>
      <c r="K121">
        <v>-9999</v>
      </c>
      <c r="L121">
        <v>-9999</v>
      </c>
      <c r="M121">
        <v>-9999</v>
      </c>
      <c r="O121">
        <v>-9999</v>
      </c>
      <c r="P121">
        <v>-9999</v>
      </c>
      <c r="Q121">
        <v>-9999</v>
      </c>
      <c r="R121">
        <v>-9999</v>
      </c>
      <c r="Y121">
        <v>1</v>
      </c>
      <c r="AA121">
        <v>-9999</v>
      </c>
    </row>
    <row r="122" spans="1:44" x14ac:dyDescent="0.25">
      <c r="A122">
        <v>120</v>
      </c>
      <c r="B122">
        <v>-32.086390000000002</v>
      </c>
      <c r="C122">
        <v>25.575559999999999</v>
      </c>
      <c r="D122" s="1">
        <v>41109</v>
      </c>
      <c r="H122">
        <v>320</v>
      </c>
      <c r="I122">
        <v>11732.5</v>
      </c>
      <c r="J122">
        <v>9223</v>
      </c>
      <c r="K122">
        <v>445</v>
      </c>
      <c r="L122">
        <v>9726</v>
      </c>
      <c r="M122">
        <v>49</v>
      </c>
      <c r="N122">
        <v>40039</v>
      </c>
      <c r="O122">
        <v>7293</v>
      </c>
      <c r="P122">
        <v>840</v>
      </c>
      <c r="Q122">
        <v>8680</v>
      </c>
      <c r="R122">
        <v>141.5</v>
      </c>
      <c r="S122">
        <v>10468</v>
      </c>
      <c r="T122">
        <v>12863.5</v>
      </c>
      <c r="U122">
        <v>40039</v>
      </c>
      <c r="V122">
        <v>12101.5</v>
      </c>
      <c r="W122">
        <v>10620</v>
      </c>
      <c r="Y122">
        <v>5440</v>
      </c>
      <c r="AA122">
        <v>9</v>
      </c>
      <c r="AB122">
        <v>4.59830866807611E-2</v>
      </c>
      <c r="AC122">
        <v>6.89732278982782E-2</v>
      </c>
      <c r="AD122">
        <v>3.8054899228013597E-2</v>
      </c>
      <c r="AE122">
        <v>-3.0522731824554301E-2</v>
      </c>
      <c r="AF122">
        <v>-1760.98965</v>
      </c>
      <c r="AG122">
        <f t="shared" si="12"/>
        <v>0.20071697309576206</v>
      </c>
      <c r="AH122">
        <f t="shared" si="13"/>
        <v>5.3340033566215209E-2</v>
      </c>
      <c r="AI122">
        <f t="shared" si="14"/>
        <v>0.10267235282772218</v>
      </c>
      <c r="AJ122">
        <f t="shared" si="15"/>
        <v>2394.5</v>
      </c>
      <c r="AK122">
        <f t="shared" si="16"/>
        <v>0.94076262292533142</v>
      </c>
      <c r="AL122">
        <f t="shared" si="17"/>
        <v>9.5535162986777944E-2</v>
      </c>
      <c r="AM122">
        <f t="shared" si="18"/>
        <v>0.8922224589814618</v>
      </c>
      <c r="AN122">
        <f t="shared" si="19"/>
        <v>-5.6958176617643748E-2</v>
      </c>
      <c r="AO122">
        <f t="shared" si="20"/>
        <v>-0.18003409086908961</v>
      </c>
      <c r="AP122">
        <f t="shared" si="21"/>
        <v>6.5202561450608459E-2</v>
      </c>
      <c r="AQ122">
        <f t="shared" si="22"/>
        <v>0.91207680646791311</v>
      </c>
      <c r="AR122">
        <f t="shared" si="23"/>
        <v>0.81377541104676021</v>
      </c>
    </row>
    <row r="123" spans="1:44" x14ac:dyDescent="0.25">
      <c r="A123">
        <v>121</v>
      </c>
      <c r="B123">
        <v>-33.001666999999998</v>
      </c>
      <c r="C123">
        <v>25.161389</v>
      </c>
      <c r="D123" s="1">
        <v>41899</v>
      </c>
      <c r="H123">
        <v>147</v>
      </c>
      <c r="I123">
        <v>10998.5</v>
      </c>
      <c r="J123">
        <v>9170</v>
      </c>
      <c r="K123">
        <v>451</v>
      </c>
      <c r="L123">
        <v>9706</v>
      </c>
      <c r="M123">
        <v>52</v>
      </c>
      <c r="O123">
        <v>9024.5</v>
      </c>
      <c r="P123">
        <v>840</v>
      </c>
      <c r="Q123">
        <v>8718</v>
      </c>
      <c r="R123">
        <v>4100.5</v>
      </c>
      <c r="S123">
        <v>10164</v>
      </c>
      <c r="T123">
        <v>13075.5</v>
      </c>
      <c r="V123">
        <v>16105.5</v>
      </c>
      <c r="W123">
        <v>14226</v>
      </c>
      <c r="Y123">
        <v>21824</v>
      </c>
      <c r="AB123">
        <v>8.6275650078923294E-2</v>
      </c>
      <c r="AC123">
        <v>0.129410787347608</v>
      </c>
      <c r="AD123">
        <v>9.8450845499954406E-2</v>
      </c>
      <c r="AE123">
        <v>0.103834686953839</v>
      </c>
      <c r="AF123">
        <v>-6491.3431499999997</v>
      </c>
      <c r="AG123">
        <f t="shared" si="12"/>
        <v>0.50449356327422878</v>
      </c>
      <c r="AH123">
        <f t="shared" si="13"/>
        <v>0.10007908894848251</v>
      </c>
      <c r="AI123">
        <f t="shared" si="14"/>
        <v>0.12528238559349383</v>
      </c>
      <c r="AJ123">
        <f t="shared" si="15"/>
        <v>2910.5</v>
      </c>
      <c r="AK123">
        <f t="shared" si="16"/>
        <v>1.2317311001491338</v>
      </c>
      <c r="AL123">
        <f t="shared" si="17"/>
        <v>-4.2140541728476456E-2</v>
      </c>
      <c r="AM123">
        <f t="shared" si="18"/>
        <v>0.92412601718416143</v>
      </c>
      <c r="AN123">
        <f t="shared" si="19"/>
        <v>-3.9432959243945659E-2</v>
      </c>
      <c r="AO123">
        <f t="shared" si="20"/>
        <v>0.14962759759108568</v>
      </c>
      <c r="AP123">
        <f t="shared" si="21"/>
        <v>6.1965283616042727E-2</v>
      </c>
      <c r="AQ123">
        <f t="shared" si="22"/>
        <v>0.84115330197697979</v>
      </c>
      <c r="AR123">
        <f t="shared" si="23"/>
        <v>0.77733165079729261</v>
      </c>
    </row>
    <row r="124" spans="1:44" x14ac:dyDescent="0.25">
      <c r="A124">
        <v>122</v>
      </c>
      <c r="B124">
        <v>-31.905000000000001</v>
      </c>
      <c r="C124">
        <v>25.43</v>
      </c>
      <c r="D124" s="1">
        <v>40730</v>
      </c>
      <c r="H124">
        <v>628</v>
      </c>
      <c r="I124">
        <v>11017.5</v>
      </c>
      <c r="J124">
        <v>10232</v>
      </c>
      <c r="K124">
        <v>398</v>
      </c>
      <c r="L124">
        <v>9645.5</v>
      </c>
      <c r="M124">
        <v>82</v>
      </c>
      <c r="N124">
        <v>39448</v>
      </c>
      <c r="O124">
        <v>6995</v>
      </c>
      <c r="P124">
        <v>732</v>
      </c>
      <c r="Q124">
        <v>8874</v>
      </c>
      <c r="S124">
        <v>10954</v>
      </c>
      <c r="T124">
        <v>13018.5</v>
      </c>
      <c r="U124">
        <v>39448</v>
      </c>
      <c r="V124">
        <v>13163.5</v>
      </c>
      <c r="W124">
        <v>12073.5</v>
      </c>
      <c r="Y124">
        <v>5442</v>
      </c>
      <c r="AA124">
        <v>29</v>
      </c>
      <c r="AB124">
        <v>8.3250124812780796E-2</v>
      </c>
      <c r="AC124">
        <v>0.124872589603311</v>
      </c>
      <c r="AD124">
        <v>1.9617764565742098E-2</v>
      </c>
      <c r="AE124">
        <v>5.5381559850278001E-3</v>
      </c>
      <c r="AF124">
        <v>-3113.0439999999899</v>
      </c>
      <c r="AG124">
        <f t="shared" si="12"/>
        <v>2.097924093101279</v>
      </c>
      <c r="AH124">
        <f t="shared" si="13"/>
        <v>9.6569501950394737E-2</v>
      </c>
      <c r="AI124">
        <f t="shared" si="14"/>
        <v>8.6119511940765461E-2</v>
      </c>
      <c r="AJ124">
        <f t="shared" si="15"/>
        <v>2063.5</v>
      </c>
      <c r="AK124">
        <f t="shared" si="16"/>
        <v>1.0111379959288704</v>
      </c>
      <c r="AL124">
        <f t="shared" si="17"/>
        <v>3.7661406025824962E-2</v>
      </c>
      <c r="AM124">
        <f t="shared" si="18"/>
        <v>0.99423644202405259</v>
      </c>
      <c r="AN124">
        <f t="shared" si="19"/>
        <v>-2.8901076394420044E-3</v>
      </c>
      <c r="AO124">
        <f t="shared" si="20"/>
        <v>5.3410267851785598E-3</v>
      </c>
      <c r="AP124">
        <f t="shared" si="21"/>
        <v>4.3190553552323971E-2</v>
      </c>
      <c r="AQ124">
        <f t="shared" si="22"/>
        <v>0.84629565618158775</v>
      </c>
      <c r="AR124">
        <f t="shared" si="23"/>
        <v>0.84141798210239271</v>
      </c>
    </row>
    <row r="125" spans="1:44" x14ac:dyDescent="0.25">
      <c r="A125">
        <v>123</v>
      </c>
      <c r="B125">
        <v>-32.086390000000002</v>
      </c>
      <c r="C125">
        <v>25.575559999999999</v>
      </c>
      <c r="D125" s="1">
        <v>41338</v>
      </c>
      <c r="H125">
        <v>208</v>
      </c>
      <c r="I125">
        <v>11528</v>
      </c>
      <c r="J125">
        <v>9416</v>
      </c>
      <c r="K125">
        <v>718.5</v>
      </c>
      <c r="L125">
        <v>9754</v>
      </c>
      <c r="M125">
        <v>49</v>
      </c>
      <c r="N125">
        <v>44385.5</v>
      </c>
      <c r="O125">
        <v>8911</v>
      </c>
      <c r="P125">
        <v>1417.5</v>
      </c>
      <c r="Q125">
        <v>8073</v>
      </c>
      <c r="R125">
        <v>1001.5</v>
      </c>
      <c r="S125">
        <v>10764</v>
      </c>
      <c r="T125">
        <v>15543.5</v>
      </c>
      <c r="U125">
        <v>44385.5</v>
      </c>
      <c r="V125">
        <v>12807</v>
      </c>
      <c r="W125">
        <v>10273</v>
      </c>
      <c r="X125">
        <v>8</v>
      </c>
      <c r="Y125">
        <v>5440</v>
      </c>
      <c r="AA125">
        <v>9</v>
      </c>
      <c r="AB125">
        <v>0.14832942393291801</v>
      </c>
      <c r="AC125">
        <v>0.22249002659574399</v>
      </c>
      <c r="AD125">
        <v>-1.2668756149266099E-2</v>
      </c>
      <c r="AE125">
        <v>-9.6523870831202202E-2</v>
      </c>
      <c r="AF125">
        <v>-1171.3949500000001</v>
      </c>
      <c r="AG125">
        <f t="shared" si="12"/>
        <v>0.71234699308142624</v>
      </c>
      <c r="AH125">
        <f t="shared" si="13"/>
        <v>0.17206111483374126</v>
      </c>
      <c r="AI125">
        <f t="shared" si="14"/>
        <v>0.18167822864202224</v>
      </c>
      <c r="AJ125">
        <f t="shared" si="15"/>
        <v>4778.5</v>
      </c>
      <c r="AK125">
        <f t="shared" si="16"/>
        <v>0.82394570077524365</v>
      </c>
      <c r="AL125">
        <f t="shared" si="17"/>
        <v>0.20415238316580481</v>
      </c>
      <c r="AM125">
        <f t="shared" si="18"/>
        <v>0.93372657876474674</v>
      </c>
      <c r="AN125">
        <f t="shared" si="19"/>
        <v>-3.4272384712004306E-2</v>
      </c>
      <c r="AO125">
        <f t="shared" si="20"/>
        <v>-0.24703163107165349</v>
      </c>
      <c r="AP125">
        <f t="shared" si="21"/>
        <v>0.10979202772963605</v>
      </c>
      <c r="AQ125">
        <f t="shared" si="22"/>
        <v>0.74166050117412419</v>
      </c>
      <c r="AR125">
        <f t="shared" si="23"/>
        <v>0.69250812236626247</v>
      </c>
    </row>
    <row r="126" spans="1:44" x14ac:dyDescent="0.25">
      <c r="A126">
        <v>124</v>
      </c>
      <c r="B126">
        <v>-33.185361110000002</v>
      </c>
      <c r="C126">
        <v>27.390750000000001</v>
      </c>
      <c r="D126" s="1">
        <v>42306</v>
      </c>
      <c r="H126">
        <v>205</v>
      </c>
      <c r="I126">
        <v>8805</v>
      </c>
      <c r="J126">
        <v>8233.5</v>
      </c>
      <c r="K126">
        <v>848</v>
      </c>
      <c r="L126">
        <v>9718</v>
      </c>
      <c r="M126">
        <v>80</v>
      </c>
      <c r="O126">
        <v>9434</v>
      </c>
      <c r="P126">
        <v>1727.5</v>
      </c>
      <c r="Q126">
        <v>7822</v>
      </c>
      <c r="R126">
        <v>1000.5</v>
      </c>
      <c r="S126">
        <v>9304</v>
      </c>
      <c r="T126">
        <v>20018</v>
      </c>
      <c r="V126">
        <v>12432</v>
      </c>
      <c r="W126">
        <v>9650</v>
      </c>
      <c r="Y126">
        <v>21824</v>
      </c>
      <c r="AB126">
        <v>0.389029594421122</v>
      </c>
      <c r="AC126">
        <v>0.58353426891251903</v>
      </c>
      <c r="AD126">
        <v>-0.14174000020206701</v>
      </c>
      <c r="AE126">
        <v>-0.233775038520801</v>
      </c>
      <c r="AF126">
        <v>-456.71424999999999</v>
      </c>
      <c r="AG126">
        <f t="shared" si="12"/>
        <v>2.5259624698700187</v>
      </c>
      <c r="AH126">
        <f t="shared" si="13"/>
        <v>0.45127182446338293</v>
      </c>
      <c r="AI126">
        <f t="shared" si="14"/>
        <v>0.36539117386262876</v>
      </c>
      <c r="AJ126">
        <f t="shared" si="15"/>
        <v>10713</v>
      </c>
      <c r="AK126">
        <f t="shared" si="16"/>
        <v>0.62104106304326101</v>
      </c>
      <c r="AL126">
        <f t="shared" si="17"/>
        <v>0.34946743966563298</v>
      </c>
      <c r="AM126">
        <f t="shared" si="18"/>
        <v>1.0566723452583759</v>
      </c>
      <c r="AN126">
        <f t="shared" si="19"/>
        <v>2.7555359213650672E-2</v>
      </c>
      <c r="AO126">
        <f t="shared" si="20"/>
        <v>-0.32532609086903475</v>
      </c>
      <c r="AP126">
        <f t="shared" si="21"/>
        <v>0.12598496512997012</v>
      </c>
      <c r="AQ126">
        <f t="shared" si="22"/>
        <v>0.43985413128184636</v>
      </c>
      <c r="AR126">
        <f t="shared" si="23"/>
        <v>0.46478169647317413</v>
      </c>
    </row>
    <row r="127" spans="1:44" x14ac:dyDescent="0.25">
      <c r="A127">
        <v>125</v>
      </c>
      <c r="B127">
        <v>-32.086390000000002</v>
      </c>
      <c r="C127">
        <v>25.575559999999999</v>
      </c>
      <c r="D127" s="1">
        <v>41246</v>
      </c>
      <c r="H127">
        <v>213.5</v>
      </c>
      <c r="I127">
        <v>11164.5</v>
      </c>
      <c r="J127">
        <v>9362</v>
      </c>
      <c r="K127">
        <v>280</v>
      </c>
      <c r="L127">
        <v>9770.5</v>
      </c>
      <c r="M127">
        <v>49</v>
      </c>
      <c r="N127">
        <v>44047.5</v>
      </c>
      <c r="O127">
        <v>8892</v>
      </c>
      <c r="P127">
        <v>479</v>
      </c>
      <c r="Q127">
        <v>9214.5</v>
      </c>
      <c r="R127">
        <v>926</v>
      </c>
      <c r="S127">
        <v>10654</v>
      </c>
      <c r="T127">
        <v>16162</v>
      </c>
      <c r="U127">
        <v>44047.5</v>
      </c>
      <c r="V127">
        <v>14157</v>
      </c>
      <c r="W127">
        <v>11210.5</v>
      </c>
      <c r="X127">
        <v>8</v>
      </c>
      <c r="Y127">
        <v>5440</v>
      </c>
      <c r="AA127">
        <v>8</v>
      </c>
      <c r="AB127">
        <v>0.182881086125189</v>
      </c>
      <c r="AC127">
        <v>0.27431660994620699</v>
      </c>
      <c r="AD127">
        <v>-3.9826533321532E-3</v>
      </c>
      <c r="AE127">
        <v>-6.6130149411260206E-2</v>
      </c>
      <c r="AF127">
        <v>-2498.0727000000002</v>
      </c>
      <c r="AG127">
        <f t="shared" si="12"/>
        <v>0.96588712794742948</v>
      </c>
      <c r="AH127">
        <f t="shared" si="13"/>
        <v>0.21214081779478353</v>
      </c>
      <c r="AI127">
        <f t="shared" si="14"/>
        <v>0.20539976133651552</v>
      </c>
      <c r="AJ127">
        <f t="shared" si="15"/>
        <v>5507</v>
      </c>
      <c r="AK127">
        <f t="shared" si="16"/>
        <v>0.87594357134018064</v>
      </c>
      <c r="AL127">
        <f t="shared" si="17"/>
        <v>0.18089323225865375</v>
      </c>
      <c r="AM127">
        <f t="shared" si="18"/>
        <v>0.95427471001836173</v>
      </c>
      <c r="AN127">
        <f t="shared" si="19"/>
        <v>-2.3397575452024658E-2</v>
      </c>
      <c r="AO127">
        <f t="shared" si="20"/>
        <v>-0.17197270423706734</v>
      </c>
      <c r="AP127">
        <f t="shared" si="21"/>
        <v>0.1161525574061299</v>
      </c>
      <c r="AQ127">
        <f t="shared" si="22"/>
        <v>0.69078703130800645</v>
      </c>
      <c r="AR127">
        <f t="shared" si="23"/>
        <v>0.65920059398589281</v>
      </c>
    </row>
    <row r="128" spans="1:44" x14ac:dyDescent="0.25">
      <c r="A128">
        <v>126</v>
      </c>
      <c r="B128">
        <v>-32.991638889999997</v>
      </c>
      <c r="C128">
        <v>27.64002778</v>
      </c>
      <c r="D128" s="1">
        <v>41060</v>
      </c>
      <c r="H128">
        <v>-4892</v>
      </c>
      <c r="I128">
        <v>4670</v>
      </c>
      <c r="J128">
        <v>4072.5</v>
      </c>
      <c r="K128">
        <v>-4670</v>
      </c>
      <c r="L128">
        <v>-85</v>
      </c>
      <c r="M128">
        <v>-4981</v>
      </c>
      <c r="N128">
        <v>20766.5</v>
      </c>
      <c r="O128">
        <v>-1018.5</v>
      </c>
      <c r="P128">
        <v>-4345</v>
      </c>
      <c r="Q128">
        <v>-880.5</v>
      </c>
      <c r="R128">
        <v>-4569</v>
      </c>
      <c r="S128">
        <v>4715.5</v>
      </c>
      <c r="T128">
        <v>7593</v>
      </c>
      <c r="U128">
        <v>20766.5</v>
      </c>
      <c r="V128">
        <v>5605.5</v>
      </c>
      <c r="W128">
        <v>5276</v>
      </c>
      <c r="Y128">
        <v>2720.5</v>
      </c>
      <c r="AA128">
        <v>-4995</v>
      </c>
      <c r="AB128">
        <v>0.23835929217972701</v>
      </c>
      <c r="AC128">
        <v>0.35752436090838602</v>
      </c>
      <c r="AD128">
        <v>-6.3351715965543898E-2</v>
      </c>
      <c r="AE128">
        <v>-0.15058529378338401</v>
      </c>
      <c r="AF128">
        <v>-728.94375000000002</v>
      </c>
      <c r="AG128">
        <f t="shared" si="12"/>
        <v>1.4412504314382919</v>
      </c>
      <c r="AH128">
        <f t="shared" si="13"/>
        <v>0.27649317141748131</v>
      </c>
      <c r="AI128">
        <f t="shared" si="14"/>
        <v>0.23378153308689117</v>
      </c>
      <c r="AJ128">
        <f t="shared" si="15"/>
        <v>2876.5</v>
      </c>
      <c r="AK128">
        <f t="shared" si="16"/>
        <v>0.73824575266693004</v>
      </c>
      <c r="AL128">
        <f t="shared" si="17"/>
        <v>0.18004506954697336</v>
      </c>
      <c r="AM128">
        <f t="shared" si="18"/>
        <v>1.0097430406852248</v>
      </c>
      <c r="AN128">
        <f t="shared" si="19"/>
        <v>4.8479036812103778E-3</v>
      </c>
      <c r="AO128">
        <f t="shared" si="20"/>
        <v>-0.2521052175377142</v>
      </c>
      <c r="AP128">
        <f t="shared" si="21"/>
        <v>3.0280751734595414E-2</v>
      </c>
      <c r="AQ128">
        <f t="shared" si="22"/>
        <v>0.61504016857632027</v>
      </c>
      <c r="AR128">
        <f t="shared" si="23"/>
        <v>0.62103252996180691</v>
      </c>
    </row>
    <row r="129" spans="1:44" x14ac:dyDescent="0.25">
      <c r="A129">
        <v>127</v>
      </c>
      <c r="B129">
        <v>-31.905000000000001</v>
      </c>
      <c r="C129">
        <v>25.43</v>
      </c>
      <c r="D129" s="1">
        <v>41472</v>
      </c>
      <c r="H129">
        <v>152</v>
      </c>
      <c r="I129">
        <v>9876.5</v>
      </c>
      <c r="J129">
        <v>8566</v>
      </c>
      <c r="K129">
        <v>340</v>
      </c>
      <c r="L129">
        <v>9663.5</v>
      </c>
      <c r="M129">
        <v>82</v>
      </c>
      <c r="O129">
        <v>7759.5</v>
      </c>
      <c r="P129">
        <v>618</v>
      </c>
      <c r="Q129">
        <v>9044</v>
      </c>
      <c r="R129">
        <v>3429.5</v>
      </c>
      <c r="S129">
        <v>9697.5</v>
      </c>
      <c r="T129">
        <v>12464</v>
      </c>
      <c r="V129">
        <v>12935</v>
      </c>
      <c r="W129">
        <v>11738</v>
      </c>
      <c r="Y129">
        <v>21824</v>
      </c>
      <c r="AB129">
        <v>0.115821042501286</v>
      </c>
      <c r="AC129">
        <v>0.173727675574056</v>
      </c>
      <c r="AD129">
        <v>4.0635014769111397E-2</v>
      </c>
      <c r="AE129">
        <v>1.85440371668175E-2</v>
      </c>
      <c r="AF129">
        <v>-3860.6145999999999</v>
      </c>
      <c r="AG129">
        <f t="shared" si="12"/>
        <v>0.86492178098676298</v>
      </c>
      <c r="AH129">
        <f t="shared" si="13"/>
        <v>0.13435144709243146</v>
      </c>
      <c r="AI129">
        <f t="shared" si="14"/>
        <v>0.12483360783340477</v>
      </c>
      <c r="AJ129">
        <f t="shared" si="15"/>
        <v>2765.5</v>
      </c>
      <c r="AK129">
        <f t="shared" si="16"/>
        <v>1.0377888318356867</v>
      </c>
      <c r="AL129">
        <f t="shared" si="17"/>
        <v>2.9997520866044129E-2</v>
      </c>
      <c r="AM129">
        <f t="shared" si="18"/>
        <v>0.98187617070824684</v>
      </c>
      <c r="AN129">
        <f t="shared" si="19"/>
        <v>-9.1447838970062333E-3</v>
      </c>
      <c r="AO129">
        <f t="shared" si="20"/>
        <v>1.9330466277553082E-2</v>
      </c>
      <c r="AP129">
        <f t="shared" si="21"/>
        <v>4.8514570583228632E-2</v>
      </c>
      <c r="AQ129">
        <f t="shared" si="22"/>
        <v>0.79240211810012839</v>
      </c>
      <c r="AR129">
        <f t="shared" si="23"/>
        <v>0.778040757381258</v>
      </c>
    </row>
    <row r="130" spans="1:44" x14ac:dyDescent="0.25">
      <c r="A130">
        <v>128</v>
      </c>
      <c r="B130">
        <v>-31.903055999999999</v>
      </c>
      <c r="C130">
        <v>25.482222</v>
      </c>
      <c r="D130" s="1">
        <v>41024</v>
      </c>
      <c r="H130">
        <v>155</v>
      </c>
      <c r="I130">
        <v>9576</v>
      </c>
      <c r="J130">
        <v>8514.5</v>
      </c>
      <c r="K130">
        <v>203</v>
      </c>
      <c r="L130">
        <v>9712</v>
      </c>
      <c r="M130">
        <v>80</v>
      </c>
      <c r="N130">
        <v>41103</v>
      </c>
      <c r="O130">
        <v>7739</v>
      </c>
      <c r="P130">
        <v>339</v>
      </c>
      <c r="Q130">
        <v>9493</v>
      </c>
      <c r="R130">
        <v>3057</v>
      </c>
      <c r="S130">
        <v>9273</v>
      </c>
      <c r="T130">
        <v>13893</v>
      </c>
      <c r="U130">
        <v>41103</v>
      </c>
      <c r="V130">
        <v>12362</v>
      </c>
      <c r="W130">
        <v>10217</v>
      </c>
      <c r="Y130">
        <v>5440</v>
      </c>
      <c r="AA130">
        <v>9</v>
      </c>
      <c r="AB130">
        <v>0.18394477821807401</v>
      </c>
      <c r="AC130">
        <v>0.27591128911992102</v>
      </c>
      <c r="AD130">
        <v>-1.05873200211971E-2</v>
      </c>
      <c r="AE130">
        <v>-5.8312702342410899E-2</v>
      </c>
      <c r="AF130">
        <v>-2462.7159499999998</v>
      </c>
      <c r="AG130">
        <f t="shared" si="12"/>
        <v>1.44068079425997</v>
      </c>
      <c r="AH130">
        <f t="shared" si="13"/>
        <v>0.2133744880515536</v>
      </c>
      <c r="AI130">
        <f t="shared" si="14"/>
        <v>0.19943019943019943</v>
      </c>
      <c r="AJ130">
        <f t="shared" si="15"/>
        <v>4619</v>
      </c>
      <c r="AK130">
        <f t="shared" si="16"/>
        <v>0.88980061901677099</v>
      </c>
      <c r="AL130">
        <f t="shared" si="17"/>
        <v>0.15246785566155122</v>
      </c>
      <c r="AM130">
        <f t="shared" si="18"/>
        <v>0.96835839598997497</v>
      </c>
      <c r="AN130">
        <f t="shared" si="19"/>
        <v>-1.6075123348718766E-2</v>
      </c>
      <c r="AO130">
        <f t="shared" si="20"/>
        <v>-0.14287489052706592</v>
      </c>
      <c r="AP130">
        <f t="shared" si="21"/>
        <v>9.4999778555294748E-2</v>
      </c>
      <c r="AQ130">
        <f t="shared" si="22"/>
        <v>0.68926797667890305</v>
      </c>
      <c r="AR130">
        <f t="shared" si="23"/>
        <v>0.66745843230403801</v>
      </c>
    </row>
    <row r="131" spans="1:44" x14ac:dyDescent="0.25">
      <c r="A131">
        <v>129</v>
      </c>
      <c r="B131">
        <v>-34.096389000000002</v>
      </c>
      <c r="C131">
        <v>24.439167000000001</v>
      </c>
      <c r="D131" s="1">
        <v>41723</v>
      </c>
      <c r="H131">
        <v>292</v>
      </c>
      <c r="I131">
        <v>8161</v>
      </c>
      <c r="J131">
        <v>7875</v>
      </c>
      <c r="K131">
        <v>915</v>
      </c>
      <c r="L131">
        <v>9777</v>
      </c>
      <c r="M131">
        <v>47</v>
      </c>
      <c r="O131">
        <v>8563</v>
      </c>
      <c r="P131">
        <v>1876</v>
      </c>
      <c r="Q131">
        <v>7562</v>
      </c>
      <c r="R131">
        <v>168</v>
      </c>
      <c r="S131">
        <v>8428</v>
      </c>
      <c r="T131">
        <v>14744.5</v>
      </c>
      <c r="V131">
        <v>10806.5</v>
      </c>
      <c r="W131">
        <v>9006</v>
      </c>
      <c r="Y131">
        <v>21824</v>
      </c>
      <c r="AB131">
        <v>0.28742005195258702</v>
      </c>
      <c r="AC131">
        <v>0.43112066707412899</v>
      </c>
      <c r="AD131">
        <v>-8.7815904008464105E-2</v>
      </c>
      <c r="AE131">
        <v>-0.15412312629642599</v>
      </c>
      <c r="AF131">
        <v>-1241.3570999999999</v>
      </c>
      <c r="AG131">
        <f t="shared" ref="AG131:AG194" si="24">(2.5*(T131-I131))/(T131+6*I131-7.5*J131+1)</f>
        <v>3.5402774790277478</v>
      </c>
      <c r="AH131">
        <f t="shared" ref="AH131:AH194" si="25">(1.16*(T131-I131))/(T131+I131+0.16)</f>
        <v>0.33340493135757709</v>
      </c>
      <c r="AI131">
        <f t="shared" ref="AI131:AI194" si="26">(T131-S131)/(T131+S131)</f>
        <v>0.27258603948646026</v>
      </c>
      <c r="AJ131">
        <f t="shared" ref="AJ131:AJ194" si="27">(T131-S131)-1</f>
        <v>6315.5</v>
      </c>
      <c r="AK131">
        <f t="shared" ref="AK131:AK194" si="28">V131/T131</f>
        <v>0.73291735901522603</v>
      </c>
      <c r="AL131">
        <f t="shared" ref="AL131:AL194" si="29">(T131-W131)/(T131+W131)</f>
        <v>0.24161596597966359</v>
      </c>
      <c r="AM131">
        <f t="shared" ref="AM131:AM194" si="30">S131/I131</f>
        <v>1.032716578850631</v>
      </c>
      <c r="AN131">
        <f t="shared" ref="AN131:AN194" si="31">(S131-I131)/(S131+I131)</f>
        <v>1.6095002712640905E-2</v>
      </c>
      <c r="AO131">
        <f t="shared" ref="AO131:AO194" si="32">((V131/T131)-(I131/S131))</f>
        <v>-0.23540252707874643</v>
      </c>
      <c r="AP131">
        <f t="shared" ref="AP131:AP194" si="33">(V131-W131)/(V131+W131)</f>
        <v>9.0876971608832804E-2</v>
      </c>
      <c r="AQ131">
        <f t="shared" ref="AQ131:AQ194" si="34">I131/T131</f>
        <v>0.55349452338159988</v>
      </c>
      <c r="AR131">
        <f t="shared" ref="AR131:AR194" si="35">S131/T131</f>
        <v>0.57160297059920651</v>
      </c>
    </row>
    <row r="132" spans="1:44" x14ac:dyDescent="0.25">
      <c r="A132">
        <v>130</v>
      </c>
      <c r="B132">
        <v>-33.094444000000003</v>
      </c>
      <c r="C132">
        <v>25.012778000000001</v>
      </c>
      <c r="D132" s="1">
        <v>42208</v>
      </c>
      <c r="H132">
        <v>175</v>
      </c>
      <c r="I132">
        <v>9891</v>
      </c>
      <c r="J132">
        <v>8667</v>
      </c>
      <c r="K132">
        <v>409</v>
      </c>
      <c r="L132">
        <v>9691</v>
      </c>
      <c r="M132">
        <v>53</v>
      </c>
      <c r="N132">
        <v>40240</v>
      </c>
      <c r="O132">
        <v>7255</v>
      </c>
      <c r="P132">
        <v>757</v>
      </c>
      <c r="Q132">
        <v>8740</v>
      </c>
      <c r="R132">
        <v>1839</v>
      </c>
      <c r="S132">
        <v>9499.5</v>
      </c>
      <c r="T132">
        <v>13329</v>
      </c>
      <c r="U132">
        <v>40240</v>
      </c>
      <c r="V132">
        <v>13145</v>
      </c>
      <c r="W132">
        <v>11546.5</v>
      </c>
      <c r="Y132">
        <v>5440</v>
      </c>
      <c r="AA132">
        <v>9</v>
      </c>
      <c r="AB132">
        <v>0.14806201550387499</v>
      </c>
      <c r="AC132">
        <v>0.222088240993949</v>
      </c>
      <c r="AD132">
        <v>2.3094688221709E-2</v>
      </c>
      <c r="AE132">
        <v>-6.9502153055828004E-3</v>
      </c>
      <c r="AF132">
        <v>-3647.1052</v>
      </c>
      <c r="AG132">
        <f t="shared" si="24"/>
        <v>1.1200886166677526</v>
      </c>
      <c r="AH132">
        <f t="shared" si="25"/>
        <v>0.17175075451676475</v>
      </c>
      <c r="AI132">
        <f t="shared" si="26"/>
        <v>0.16775083776857874</v>
      </c>
      <c r="AJ132">
        <f t="shared" si="27"/>
        <v>3828.5</v>
      </c>
      <c r="AK132">
        <f t="shared" si="28"/>
        <v>0.98619551354190116</v>
      </c>
      <c r="AL132">
        <f t="shared" si="29"/>
        <v>7.165685111857048E-2</v>
      </c>
      <c r="AM132">
        <f t="shared" si="30"/>
        <v>0.96041856232939038</v>
      </c>
      <c r="AN132">
        <f t="shared" si="31"/>
        <v>-2.0190299373404504E-2</v>
      </c>
      <c r="AO132">
        <f t="shared" si="32"/>
        <v>-5.5017181863120213E-2</v>
      </c>
      <c r="AP132">
        <f t="shared" si="33"/>
        <v>6.4738877751452928E-2</v>
      </c>
      <c r="AQ132">
        <f t="shared" si="34"/>
        <v>0.74206617150573939</v>
      </c>
      <c r="AR132">
        <f t="shared" si="35"/>
        <v>0.71269412559081702</v>
      </c>
    </row>
    <row r="133" spans="1:44" x14ac:dyDescent="0.25">
      <c r="A133">
        <v>131</v>
      </c>
      <c r="B133">
        <v>-32.802778000000004</v>
      </c>
      <c r="C133">
        <v>27.856389</v>
      </c>
      <c r="D133" s="1">
        <v>42156</v>
      </c>
      <c r="H133">
        <v>232</v>
      </c>
      <c r="I133">
        <v>8516</v>
      </c>
      <c r="J133">
        <v>7993.5</v>
      </c>
      <c r="K133">
        <v>406</v>
      </c>
      <c r="L133">
        <v>9828</v>
      </c>
      <c r="M133">
        <v>149</v>
      </c>
      <c r="O133">
        <v>8038</v>
      </c>
      <c r="P133">
        <v>765</v>
      </c>
      <c r="Q133">
        <v>8965</v>
      </c>
      <c r="R133">
        <v>286.5</v>
      </c>
      <c r="S133">
        <v>8634</v>
      </c>
      <c r="T133">
        <v>14958</v>
      </c>
      <c r="V133">
        <v>11684.5</v>
      </c>
      <c r="W133">
        <v>9569</v>
      </c>
      <c r="Y133">
        <v>21824</v>
      </c>
      <c r="AB133">
        <v>0.27443128567777098</v>
      </c>
      <c r="AC133">
        <v>0.41163816055719998</v>
      </c>
      <c r="AD133">
        <v>-6.3751390433815294E-2</v>
      </c>
      <c r="AE133">
        <v>-0.122867598761377</v>
      </c>
      <c r="AF133">
        <v>-1875.06629999999</v>
      </c>
      <c r="AG133">
        <f t="shared" si="24"/>
        <v>2.6385418799918083</v>
      </c>
      <c r="AH133">
        <f t="shared" si="25"/>
        <v>0.3183381215770873</v>
      </c>
      <c r="AI133">
        <f t="shared" si="26"/>
        <v>0.26805696846388605</v>
      </c>
      <c r="AJ133">
        <f t="shared" si="27"/>
        <v>6323</v>
      </c>
      <c r="AK133">
        <f t="shared" si="28"/>
        <v>0.7811538975798904</v>
      </c>
      <c r="AL133">
        <f t="shared" si="29"/>
        <v>0.21971704652016144</v>
      </c>
      <c r="AM133">
        <f t="shared" si="30"/>
        <v>1.0138562705495537</v>
      </c>
      <c r="AN133">
        <f t="shared" si="31"/>
        <v>6.880466472303207E-3</v>
      </c>
      <c r="AO133">
        <f t="shared" si="32"/>
        <v>-0.20517920411109869</v>
      </c>
      <c r="AP133">
        <f t="shared" si="33"/>
        <v>9.9536546921683483E-2</v>
      </c>
      <c r="AQ133">
        <f t="shared" si="34"/>
        <v>0.56932745019387621</v>
      </c>
      <c r="AR133">
        <f t="shared" si="35"/>
        <v>0.57721620537505014</v>
      </c>
    </row>
    <row r="134" spans="1:44" x14ac:dyDescent="0.25">
      <c r="A134">
        <v>132</v>
      </c>
      <c r="B134">
        <v>-34.096389000000002</v>
      </c>
      <c r="C134">
        <v>24.439167000000001</v>
      </c>
      <c r="D134" s="1">
        <v>42320</v>
      </c>
      <c r="H134">
        <v>213</v>
      </c>
      <c r="I134">
        <v>8286</v>
      </c>
      <c r="J134">
        <v>7937</v>
      </c>
      <c r="K134">
        <v>631</v>
      </c>
      <c r="L134">
        <v>9780.5</v>
      </c>
      <c r="M134">
        <v>47</v>
      </c>
      <c r="N134">
        <v>44324.5</v>
      </c>
      <c r="O134">
        <v>9041</v>
      </c>
      <c r="P134">
        <v>1235</v>
      </c>
      <c r="Q134">
        <v>8401</v>
      </c>
      <c r="R134">
        <v>381.5</v>
      </c>
      <c r="S134">
        <v>8460</v>
      </c>
      <c r="T134">
        <v>14635.5</v>
      </c>
      <c r="U134">
        <v>44324.5</v>
      </c>
      <c r="V134">
        <v>11053</v>
      </c>
      <c r="W134">
        <v>8976</v>
      </c>
      <c r="X134">
        <v>1</v>
      </c>
      <c r="Y134">
        <v>5440</v>
      </c>
      <c r="AA134">
        <v>54</v>
      </c>
      <c r="AB134">
        <v>0.27701066684117498</v>
      </c>
      <c r="AC134">
        <v>0.41550693656748899</v>
      </c>
      <c r="AD134">
        <v>-7.7150662705939899E-2</v>
      </c>
      <c r="AE134">
        <v>-0.13945929112248601</v>
      </c>
      <c r="AF134">
        <v>-1383.53114999999</v>
      </c>
      <c r="AG134">
        <f t="shared" si="24"/>
        <v>3.2898963730569948</v>
      </c>
      <c r="AH134">
        <f t="shared" si="25"/>
        <v>0.3213301305402837</v>
      </c>
      <c r="AI134">
        <f t="shared" si="26"/>
        <v>0.26738975125024356</v>
      </c>
      <c r="AJ134">
        <f t="shared" si="27"/>
        <v>6174.5</v>
      </c>
      <c r="AK134">
        <f t="shared" si="28"/>
        <v>0.75521847562433808</v>
      </c>
      <c r="AL134">
        <f t="shared" si="29"/>
        <v>0.23969252271139063</v>
      </c>
      <c r="AM134">
        <f t="shared" si="30"/>
        <v>1.0209992758870383</v>
      </c>
      <c r="AN134">
        <f t="shared" si="31"/>
        <v>1.0390541024722321E-2</v>
      </c>
      <c r="AO134">
        <f t="shared" si="32"/>
        <v>-0.22421414848913712</v>
      </c>
      <c r="AP134">
        <f t="shared" si="33"/>
        <v>0.1036996355284837</v>
      </c>
      <c r="AQ134">
        <f t="shared" si="34"/>
        <v>0.56615763041918621</v>
      </c>
      <c r="AR134">
        <f t="shared" si="35"/>
        <v>0.57804653069591061</v>
      </c>
    </row>
    <row r="135" spans="1:44" x14ac:dyDescent="0.25">
      <c r="A135">
        <v>133</v>
      </c>
      <c r="B135">
        <v>-32.991638889999997</v>
      </c>
      <c r="C135">
        <v>27.64002778</v>
      </c>
      <c r="D135" s="1">
        <v>42326</v>
      </c>
      <c r="H135">
        <v>323</v>
      </c>
      <c r="I135">
        <v>9140.5</v>
      </c>
      <c r="J135">
        <v>8056.5</v>
      </c>
      <c r="K135">
        <v>885</v>
      </c>
      <c r="L135">
        <v>9843</v>
      </c>
      <c r="M135">
        <v>47</v>
      </c>
      <c r="O135">
        <v>9435.5</v>
      </c>
      <c r="P135">
        <v>1819.5</v>
      </c>
      <c r="Q135">
        <v>7686</v>
      </c>
      <c r="R135">
        <v>101.5</v>
      </c>
      <c r="S135">
        <v>9354.5</v>
      </c>
      <c r="T135">
        <v>17012</v>
      </c>
      <c r="V135">
        <v>13105.5</v>
      </c>
      <c r="W135">
        <v>10271.5</v>
      </c>
      <c r="Y135">
        <v>21824</v>
      </c>
      <c r="AB135">
        <v>0.30098460950195899</v>
      </c>
      <c r="AC135">
        <v>0.45146828279738399</v>
      </c>
      <c r="AD135">
        <v>-5.9654017267433801E-2</v>
      </c>
      <c r="AE135">
        <v>-0.12970864115547401</v>
      </c>
      <c r="AF135">
        <v>-2150.1666499999901</v>
      </c>
      <c r="AG135">
        <f t="shared" si="24"/>
        <v>1.7213365697915983</v>
      </c>
      <c r="AH135">
        <f t="shared" si="25"/>
        <v>0.34914001099696929</v>
      </c>
      <c r="AI135">
        <f t="shared" si="26"/>
        <v>0.29042535034987577</v>
      </c>
      <c r="AJ135">
        <f t="shared" si="27"/>
        <v>7656.5</v>
      </c>
      <c r="AK135">
        <f t="shared" si="28"/>
        <v>0.77036797554667291</v>
      </c>
      <c r="AL135">
        <f t="shared" si="29"/>
        <v>0.24705408030494622</v>
      </c>
      <c r="AM135">
        <f t="shared" si="30"/>
        <v>1.0234122859799792</v>
      </c>
      <c r="AN135">
        <f t="shared" si="31"/>
        <v>1.1570694782373615E-2</v>
      </c>
      <c r="AO135">
        <f t="shared" si="32"/>
        <v>-0.20675533409040014</v>
      </c>
      <c r="AP135">
        <f t="shared" si="33"/>
        <v>0.12123026906788724</v>
      </c>
      <c r="AQ135">
        <f t="shared" si="34"/>
        <v>0.53729720197507647</v>
      </c>
      <c r="AR135">
        <f t="shared" si="35"/>
        <v>0.5498765577239596</v>
      </c>
    </row>
    <row r="136" spans="1:44" x14ac:dyDescent="0.25">
      <c r="A136">
        <v>134</v>
      </c>
      <c r="B136">
        <v>-32.086390000000002</v>
      </c>
      <c r="C136">
        <v>25.575559999999999</v>
      </c>
      <c r="D136" s="1">
        <v>40612</v>
      </c>
      <c r="H136">
        <v>220</v>
      </c>
      <c r="I136">
        <v>11125</v>
      </c>
      <c r="J136">
        <v>9222.5</v>
      </c>
      <c r="K136">
        <v>224</v>
      </c>
      <c r="L136">
        <v>9758.5</v>
      </c>
      <c r="M136">
        <v>49</v>
      </c>
      <c r="N136">
        <v>41063</v>
      </c>
      <c r="O136">
        <v>7720.5</v>
      </c>
      <c r="P136">
        <v>380</v>
      </c>
      <c r="Q136">
        <v>9395.5</v>
      </c>
      <c r="R136">
        <v>848.5</v>
      </c>
      <c r="S136">
        <v>10335.5</v>
      </c>
      <c r="T136">
        <v>14278.5</v>
      </c>
      <c r="U136">
        <v>41063</v>
      </c>
      <c r="V136">
        <v>12794.5</v>
      </c>
      <c r="W136">
        <v>10912</v>
      </c>
      <c r="Y136">
        <v>5440</v>
      </c>
      <c r="AA136">
        <v>9</v>
      </c>
      <c r="AB136">
        <v>0.124136437892416</v>
      </c>
      <c r="AC136">
        <v>0.186200991969768</v>
      </c>
      <c r="AD136">
        <v>8.8252970761590003E-3</v>
      </c>
      <c r="AE136">
        <v>-5.4814760093081602E-2</v>
      </c>
      <c r="AF136">
        <v>-2130.8901000000001</v>
      </c>
      <c r="AG136">
        <f t="shared" si="24"/>
        <v>0.66469236768332529</v>
      </c>
      <c r="AH136">
        <f t="shared" si="25"/>
        <v>0.14399736101018515</v>
      </c>
      <c r="AI136">
        <f t="shared" si="26"/>
        <v>0.16019338587795565</v>
      </c>
      <c r="AJ136">
        <f t="shared" si="27"/>
        <v>3942</v>
      </c>
      <c r="AK136">
        <f t="shared" si="28"/>
        <v>0.89606751409461782</v>
      </c>
      <c r="AL136">
        <f t="shared" si="29"/>
        <v>0.13364165062225838</v>
      </c>
      <c r="AM136">
        <f t="shared" si="30"/>
        <v>0.92903370786516859</v>
      </c>
      <c r="AN136">
        <f t="shared" si="31"/>
        <v>-3.6788518440856455E-2</v>
      </c>
      <c r="AO136">
        <f t="shared" si="32"/>
        <v>-0.18031969503895084</v>
      </c>
      <c r="AP136">
        <f t="shared" si="33"/>
        <v>7.9408601016598829E-2</v>
      </c>
      <c r="AQ136">
        <f t="shared" si="34"/>
        <v>0.77914346745106278</v>
      </c>
      <c r="AR136">
        <f t="shared" si="35"/>
        <v>0.7238505445249851</v>
      </c>
    </row>
    <row r="137" spans="1:44" x14ac:dyDescent="0.25">
      <c r="A137">
        <v>135</v>
      </c>
      <c r="B137">
        <v>-33.329166999999998</v>
      </c>
      <c r="C137">
        <v>26.077500000000001</v>
      </c>
      <c r="D137" s="1">
        <v>42207</v>
      </c>
      <c r="H137">
        <v>214</v>
      </c>
      <c r="I137">
        <v>9267.5</v>
      </c>
      <c r="J137">
        <v>8112.5</v>
      </c>
      <c r="K137">
        <v>484</v>
      </c>
      <c r="L137">
        <v>9793</v>
      </c>
      <c r="M137">
        <v>59</v>
      </c>
      <c r="O137">
        <v>7398.5</v>
      </c>
      <c r="P137">
        <v>920</v>
      </c>
      <c r="Q137">
        <v>8562</v>
      </c>
      <c r="R137">
        <v>858</v>
      </c>
      <c r="S137">
        <v>8970</v>
      </c>
      <c r="T137">
        <v>12768.5</v>
      </c>
      <c r="V137">
        <v>10912.5</v>
      </c>
      <c r="W137">
        <v>9209</v>
      </c>
      <c r="Y137">
        <v>21824</v>
      </c>
      <c r="AB137">
        <v>0.15887638409874699</v>
      </c>
      <c r="AC137">
        <v>0.23830916887890499</v>
      </c>
      <c r="AD137">
        <v>-1.7072160931297299E-2</v>
      </c>
      <c r="AE137">
        <v>-7.8375068620412894E-2</v>
      </c>
      <c r="AF137">
        <v>-1576.4813999999899</v>
      </c>
      <c r="AG137">
        <f t="shared" si="24"/>
        <v>1.1622348371676128</v>
      </c>
      <c r="AH137">
        <f t="shared" si="25"/>
        <v>0.1842952674150124</v>
      </c>
      <c r="AI137">
        <f t="shared" si="26"/>
        <v>0.17473606734595304</v>
      </c>
      <c r="AJ137">
        <f t="shared" si="27"/>
        <v>3797.5</v>
      </c>
      <c r="AK137">
        <f t="shared" si="28"/>
        <v>0.85464228374515405</v>
      </c>
      <c r="AL137">
        <f t="shared" si="29"/>
        <v>0.16196109657604368</v>
      </c>
      <c r="AM137">
        <f t="shared" si="30"/>
        <v>0.96789857027245751</v>
      </c>
      <c r="AN137">
        <f t="shared" si="31"/>
        <v>-1.6312542837559972E-2</v>
      </c>
      <c r="AO137">
        <f t="shared" si="32"/>
        <v>-0.17852382550791168</v>
      </c>
      <c r="AP137">
        <f t="shared" si="33"/>
        <v>8.4660686330541954E-2</v>
      </c>
      <c r="AQ137">
        <f t="shared" si="34"/>
        <v>0.72580960958609075</v>
      </c>
      <c r="AR137">
        <f t="shared" si="35"/>
        <v>0.70251008340838783</v>
      </c>
    </row>
    <row r="138" spans="1:44" x14ac:dyDescent="0.25">
      <c r="A138">
        <v>136</v>
      </c>
      <c r="B138">
        <v>-33.731110999999999</v>
      </c>
      <c r="C138">
        <v>24.618333</v>
      </c>
      <c r="D138" s="1">
        <v>41116</v>
      </c>
      <c r="H138">
        <v>315</v>
      </c>
      <c r="I138">
        <v>8303</v>
      </c>
      <c r="J138">
        <v>7960.5</v>
      </c>
      <c r="K138">
        <v>1237.5</v>
      </c>
      <c r="L138">
        <v>9708</v>
      </c>
      <c r="M138">
        <v>61</v>
      </c>
      <c r="N138">
        <v>44080.5</v>
      </c>
      <c r="O138">
        <v>8818</v>
      </c>
      <c r="P138">
        <v>2672</v>
      </c>
      <c r="Q138">
        <v>6750</v>
      </c>
      <c r="R138">
        <v>196.5</v>
      </c>
      <c r="S138">
        <v>8451.5</v>
      </c>
      <c r="T138">
        <v>12462.5</v>
      </c>
      <c r="U138">
        <v>44080.5</v>
      </c>
      <c r="V138">
        <v>10133.5</v>
      </c>
      <c r="W138">
        <v>8602</v>
      </c>
      <c r="Y138">
        <v>5440</v>
      </c>
      <c r="AA138">
        <v>21</v>
      </c>
      <c r="AB138">
        <v>0.20030820351063</v>
      </c>
      <c r="AC138">
        <v>0.30045507078878902</v>
      </c>
      <c r="AD138">
        <v>-5.1120060731609997E-2</v>
      </c>
      <c r="AE138">
        <v>-0.10307134006018701</v>
      </c>
      <c r="AF138">
        <v>-1291.5026</v>
      </c>
      <c r="AG138">
        <f t="shared" si="24"/>
        <v>4.034041315100378</v>
      </c>
      <c r="AH138">
        <f t="shared" si="25"/>
        <v>0.23235572575107169</v>
      </c>
      <c r="AI138">
        <f t="shared" si="26"/>
        <v>0.19178540690446591</v>
      </c>
      <c r="AJ138">
        <f t="shared" si="27"/>
        <v>4010</v>
      </c>
      <c r="AK138">
        <f t="shared" si="28"/>
        <v>0.81311935807422264</v>
      </c>
      <c r="AL138">
        <f t="shared" si="29"/>
        <v>0.1832704312943578</v>
      </c>
      <c r="AM138">
        <f t="shared" si="30"/>
        <v>1.0178851017704444</v>
      </c>
      <c r="AN138">
        <f t="shared" si="31"/>
        <v>8.8632904592795964E-3</v>
      </c>
      <c r="AO138">
        <f t="shared" si="32"/>
        <v>-0.16930979651372036</v>
      </c>
      <c r="AP138">
        <f t="shared" si="33"/>
        <v>8.1743214752742127E-2</v>
      </c>
      <c r="AQ138">
        <f t="shared" si="34"/>
        <v>0.66623871614844532</v>
      </c>
      <c r="AR138">
        <f t="shared" si="35"/>
        <v>0.67815446339017049</v>
      </c>
    </row>
    <row r="139" spans="1:44" x14ac:dyDescent="0.25">
      <c r="A139">
        <v>137</v>
      </c>
      <c r="B139">
        <v>-32.605277999999998</v>
      </c>
      <c r="C139">
        <v>25.885000000000002</v>
      </c>
      <c r="D139" s="1">
        <v>41246</v>
      </c>
      <c r="H139">
        <v>233</v>
      </c>
      <c r="I139">
        <v>10064.5</v>
      </c>
      <c r="J139">
        <v>8833</v>
      </c>
      <c r="K139">
        <v>355</v>
      </c>
      <c r="L139">
        <v>9645</v>
      </c>
      <c r="M139">
        <v>52</v>
      </c>
      <c r="N139">
        <v>45363.5</v>
      </c>
      <c r="O139">
        <v>9264.5</v>
      </c>
      <c r="P139">
        <v>629</v>
      </c>
      <c r="Q139">
        <v>8990</v>
      </c>
      <c r="R139">
        <v>267</v>
      </c>
      <c r="S139">
        <v>9961</v>
      </c>
      <c r="T139">
        <v>15908</v>
      </c>
      <c r="U139">
        <v>45363.5</v>
      </c>
      <c r="V139">
        <v>14036</v>
      </c>
      <c r="W139">
        <v>11511</v>
      </c>
      <c r="Y139">
        <v>5440</v>
      </c>
      <c r="AA139">
        <v>9</v>
      </c>
      <c r="AB139">
        <v>0.22498796804312199</v>
      </c>
      <c r="AC139">
        <v>0.33747545528048301</v>
      </c>
      <c r="AD139">
        <v>-1.31138478547956E-2</v>
      </c>
      <c r="AE139">
        <v>-6.2516697835960394E-2</v>
      </c>
      <c r="AF139">
        <v>-3213.2835500000001</v>
      </c>
      <c r="AG139">
        <f t="shared" si="24"/>
        <v>1.4538239538239539</v>
      </c>
      <c r="AH139">
        <f t="shared" si="25"/>
        <v>0.26098443517144565</v>
      </c>
      <c r="AI139">
        <f t="shared" si="26"/>
        <v>0.22988905639955159</v>
      </c>
      <c r="AJ139">
        <f t="shared" si="27"/>
        <v>5946</v>
      </c>
      <c r="AK139">
        <f t="shared" si="28"/>
        <v>0.88232335931606742</v>
      </c>
      <c r="AL139">
        <f t="shared" si="29"/>
        <v>0.16036325175972865</v>
      </c>
      <c r="AM139">
        <f t="shared" si="30"/>
        <v>0.98971632967360523</v>
      </c>
      <c r="AN139">
        <f t="shared" si="31"/>
        <v>-5.1684102768969568E-3</v>
      </c>
      <c r="AO139">
        <f t="shared" si="32"/>
        <v>-0.1280671637237879</v>
      </c>
      <c r="AP139">
        <f t="shared" si="33"/>
        <v>9.8837436881042781E-2</v>
      </c>
      <c r="AQ139">
        <f t="shared" si="34"/>
        <v>0.6326690973095298</v>
      </c>
      <c r="AR139">
        <f t="shared" si="35"/>
        <v>0.62616293688710079</v>
      </c>
    </row>
    <row r="140" spans="1:44" x14ac:dyDescent="0.25">
      <c r="A140">
        <v>138</v>
      </c>
      <c r="B140">
        <v>-33.094444000000003</v>
      </c>
      <c r="C140">
        <v>25.012778000000001</v>
      </c>
      <c r="D140" s="1">
        <v>42152</v>
      </c>
      <c r="H140">
        <v>205</v>
      </c>
      <c r="I140">
        <v>9281.5</v>
      </c>
      <c r="J140">
        <v>8313.5</v>
      </c>
      <c r="K140">
        <v>434</v>
      </c>
      <c r="L140">
        <v>9670</v>
      </c>
      <c r="M140">
        <v>53</v>
      </c>
      <c r="O140">
        <v>7368</v>
      </c>
      <c r="P140">
        <v>823</v>
      </c>
      <c r="Q140">
        <v>8788</v>
      </c>
      <c r="R140">
        <v>1048.5</v>
      </c>
      <c r="S140">
        <v>9240.5</v>
      </c>
      <c r="T140">
        <v>14180</v>
      </c>
      <c r="V140">
        <v>12344</v>
      </c>
      <c r="W140">
        <v>10545</v>
      </c>
      <c r="Y140">
        <v>21824</v>
      </c>
      <c r="AB140">
        <v>0.20878886686699399</v>
      </c>
      <c r="AC140">
        <v>0.31317662603358598</v>
      </c>
      <c r="AD140">
        <v>-1.9674063328724501E-2</v>
      </c>
      <c r="AE140">
        <v>-6.9220328758859903E-2</v>
      </c>
      <c r="AF140">
        <v>-2635.1273500000002</v>
      </c>
      <c r="AG140">
        <f t="shared" si="24"/>
        <v>1.6287614297589359</v>
      </c>
      <c r="AH140">
        <f t="shared" si="25"/>
        <v>0.24219343388319495</v>
      </c>
      <c r="AI140">
        <f t="shared" si="26"/>
        <v>0.21090497640955574</v>
      </c>
      <c r="AJ140">
        <f t="shared" si="27"/>
        <v>4938.5</v>
      </c>
      <c r="AK140">
        <f t="shared" si="28"/>
        <v>0.87052186177715096</v>
      </c>
      <c r="AL140">
        <f t="shared" si="29"/>
        <v>0.14701718907987865</v>
      </c>
      <c r="AM140">
        <f t="shared" si="30"/>
        <v>0.99558261056941222</v>
      </c>
      <c r="AN140">
        <f t="shared" si="31"/>
        <v>-2.2135838462369077E-3</v>
      </c>
      <c r="AO140">
        <f t="shared" si="32"/>
        <v>-0.13391512756325274</v>
      </c>
      <c r="AP140">
        <f t="shared" si="33"/>
        <v>7.859670584123378E-2</v>
      </c>
      <c r="AQ140">
        <f t="shared" si="34"/>
        <v>0.6545486600846262</v>
      </c>
      <c r="AR140">
        <f t="shared" si="35"/>
        <v>0.65165726375176303</v>
      </c>
    </row>
    <row r="141" spans="1:44" x14ac:dyDescent="0.25">
      <c r="A141">
        <v>139</v>
      </c>
      <c r="B141">
        <v>-34.032499999999999</v>
      </c>
      <c r="C141">
        <v>24.196389</v>
      </c>
      <c r="D141" s="1">
        <v>40855</v>
      </c>
      <c r="H141">
        <v>-9999</v>
      </c>
      <c r="K141">
        <v>-9999</v>
      </c>
      <c r="L141">
        <v>-9999</v>
      </c>
      <c r="M141">
        <v>-9999</v>
      </c>
      <c r="O141">
        <v>-9999</v>
      </c>
      <c r="P141">
        <v>-9999</v>
      </c>
      <c r="Q141">
        <v>-9999</v>
      </c>
      <c r="R141">
        <v>-9999</v>
      </c>
      <c r="Y141">
        <v>1</v>
      </c>
      <c r="AA141">
        <v>-9999</v>
      </c>
    </row>
    <row r="142" spans="1:44" x14ac:dyDescent="0.25">
      <c r="A142">
        <v>140</v>
      </c>
      <c r="B142">
        <v>-32.515278000000002</v>
      </c>
      <c r="C142">
        <v>28.015556</v>
      </c>
      <c r="D142" s="1">
        <v>41773</v>
      </c>
      <c r="H142">
        <v>214</v>
      </c>
      <c r="I142">
        <v>9432</v>
      </c>
      <c r="J142">
        <v>8215.5</v>
      </c>
      <c r="K142">
        <v>780</v>
      </c>
      <c r="L142">
        <v>9813.5</v>
      </c>
      <c r="M142">
        <v>60</v>
      </c>
      <c r="O142">
        <v>8329</v>
      </c>
      <c r="P142">
        <v>1590</v>
      </c>
      <c r="Q142">
        <v>7799</v>
      </c>
      <c r="R142">
        <v>696.5</v>
      </c>
      <c r="S142">
        <v>9024</v>
      </c>
      <c r="T142">
        <v>12587.5</v>
      </c>
      <c r="V142">
        <v>11153.5</v>
      </c>
      <c r="W142">
        <v>9127.5</v>
      </c>
      <c r="Y142">
        <v>21824</v>
      </c>
      <c r="AB142">
        <v>0.14330479801993601</v>
      </c>
      <c r="AC142">
        <v>0.214952316076294</v>
      </c>
      <c r="AD142">
        <v>-5.2550829336651004E-3</v>
      </c>
      <c r="AE142">
        <v>-6.0401836485404897E-2</v>
      </c>
      <c r="AF142">
        <v>-1692.2891</v>
      </c>
      <c r="AG142">
        <f t="shared" si="24"/>
        <v>1.0428991638298575</v>
      </c>
      <c r="AH142">
        <f t="shared" si="25"/>
        <v>0.16623235781115603</v>
      </c>
      <c r="AI142">
        <f t="shared" si="26"/>
        <v>0.16488906369294126</v>
      </c>
      <c r="AJ142">
        <f t="shared" si="27"/>
        <v>3562.5</v>
      </c>
      <c r="AK142">
        <f t="shared" si="28"/>
        <v>0.88607745779543201</v>
      </c>
      <c r="AL142">
        <f t="shared" si="29"/>
        <v>0.15933686391895002</v>
      </c>
      <c r="AM142">
        <f t="shared" si="30"/>
        <v>0.95674300254452926</v>
      </c>
      <c r="AN142">
        <f t="shared" si="31"/>
        <v>-2.2106631989596878E-2</v>
      </c>
      <c r="AO142">
        <f t="shared" si="32"/>
        <v>-0.15913530816201482</v>
      </c>
      <c r="AP142">
        <f t="shared" si="33"/>
        <v>9.9896454809920612E-2</v>
      </c>
      <c r="AQ142">
        <f t="shared" si="34"/>
        <v>0.74931479642502485</v>
      </c>
      <c r="AR142">
        <f t="shared" si="35"/>
        <v>0.71690168818272093</v>
      </c>
    </row>
    <row r="143" spans="1:44" x14ac:dyDescent="0.25">
      <c r="A143">
        <v>141</v>
      </c>
      <c r="B143">
        <v>-33.185361110000002</v>
      </c>
      <c r="C143">
        <v>27.390750000000001</v>
      </c>
      <c r="D143" s="1">
        <v>41172</v>
      </c>
      <c r="H143">
        <v>203</v>
      </c>
      <c r="I143">
        <v>9401.5</v>
      </c>
      <c r="J143">
        <v>8442</v>
      </c>
      <c r="K143">
        <v>404</v>
      </c>
      <c r="L143">
        <v>9690</v>
      </c>
      <c r="M143">
        <v>80</v>
      </c>
      <c r="N143">
        <v>44847</v>
      </c>
      <c r="O143">
        <v>9264</v>
      </c>
      <c r="P143">
        <v>753</v>
      </c>
      <c r="Q143">
        <v>9023</v>
      </c>
      <c r="R143">
        <v>1262</v>
      </c>
      <c r="S143">
        <v>9405</v>
      </c>
      <c r="T143">
        <v>16193</v>
      </c>
      <c r="U143">
        <v>44847</v>
      </c>
      <c r="V143">
        <v>12466.5</v>
      </c>
      <c r="W143">
        <v>9768</v>
      </c>
      <c r="Y143">
        <v>5440</v>
      </c>
      <c r="AA143">
        <v>9</v>
      </c>
      <c r="AB143">
        <v>0.265349977534235</v>
      </c>
      <c r="AC143">
        <v>0.39801719085758902</v>
      </c>
      <c r="AD143">
        <v>-5.9501537535212701E-2</v>
      </c>
      <c r="AE143">
        <v>-0.130026692719691</v>
      </c>
      <c r="AF143">
        <v>-1590.97899999999</v>
      </c>
      <c r="AG143">
        <f t="shared" si="24"/>
        <v>1.8280307924203274</v>
      </c>
      <c r="AH143">
        <f t="shared" si="25"/>
        <v>0.30780404975100273</v>
      </c>
      <c r="AI143">
        <f t="shared" si="26"/>
        <v>0.26517696695054299</v>
      </c>
      <c r="AJ143">
        <f t="shared" si="27"/>
        <v>6787</v>
      </c>
      <c r="AK143">
        <f t="shared" si="28"/>
        <v>0.76986969678256034</v>
      </c>
      <c r="AL143">
        <f t="shared" si="29"/>
        <v>0.2474866145371904</v>
      </c>
      <c r="AM143">
        <f t="shared" si="30"/>
        <v>1.0003722810189863</v>
      </c>
      <c r="AN143">
        <f t="shared" si="31"/>
        <v>1.8610586765214153E-4</v>
      </c>
      <c r="AO143">
        <f t="shared" si="32"/>
        <v>-0.22975816074003397</v>
      </c>
      <c r="AP143">
        <f t="shared" si="33"/>
        <v>0.12136544559131079</v>
      </c>
      <c r="AQ143">
        <f t="shared" si="34"/>
        <v>0.58059037855863649</v>
      </c>
      <c r="AR143">
        <f t="shared" si="35"/>
        <v>0.58080652133637989</v>
      </c>
    </row>
    <row r="144" spans="1:44" x14ac:dyDescent="0.25">
      <c r="A144">
        <v>142</v>
      </c>
      <c r="B144">
        <v>-33.329166999999998</v>
      </c>
      <c r="C144">
        <v>26.077500000000001</v>
      </c>
      <c r="D144" s="1">
        <v>41787</v>
      </c>
      <c r="H144">
        <v>-9999</v>
      </c>
      <c r="K144">
        <v>-9999</v>
      </c>
      <c r="L144">
        <v>-9999</v>
      </c>
      <c r="M144">
        <v>-9999</v>
      </c>
      <c r="O144">
        <v>-9999</v>
      </c>
      <c r="P144">
        <v>-9999</v>
      </c>
      <c r="Q144">
        <v>-9999</v>
      </c>
      <c r="R144">
        <v>-9999</v>
      </c>
      <c r="Y144">
        <v>1</v>
      </c>
      <c r="AA144">
        <v>-9999</v>
      </c>
    </row>
    <row r="145" spans="1:44" x14ac:dyDescent="0.25">
      <c r="A145">
        <v>143</v>
      </c>
      <c r="B145">
        <v>-33.731110999999999</v>
      </c>
      <c r="C145">
        <v>24.618333</v>
      </c>
      <c r="D145" s="1">
        <v>42131</v>
      </c>
      <c r="H145">
        <v>212.5</v>
      </c>
      <c r="I145">
        <v>8877</v>
      </c>
      <c r="J145">
        <v>8029</v>
      </c>
      <c r="K145">
        <v>539.5</v>
      </c>
      <c r="L145">
        <v>9718</v>
      </c>
      <c r="M145">
        <v>61</v>
      </c>
      <c r="O145">
        <v>7826</v>
      </c>
      <c r="P145">
        <v>1037</v>
      </c>
      <c r="Q145">
        <v>8458.5</v>
      </c>
      <c r="R145">
        <v>296.5</v>
      </c>
      <c r="S145">
        <v>9197</v>
      </c>
      <c r="T145">
        <v>16119.5</v>
      </c>
      <c r="V145">
        <v>11807.5</v>
      </c>
      <c r="W145">
        <v>9622</v>
      </c>
      <c r="Y145">
        <v>21824</v>
      </c>
      <c r="AB145">
        <v>0.28974056367891499</v>
      </c>
      <c r="AC145">
        <v>0.43460215225826998</v>
      </c>
      <c r="AD145">
        <v>-7.7264514977806495E-2</v>
      </c>
      <c r="AE145">
        <v>-0.15440254950406401</v>
      </c>
      <c r="AF145">
        <v>-1356.0848000000001</v>
      </c>
      <c r="AG145">
        <f t="shared" si="24"/>
        <v>1.9755864702673214</v>
      </c>
      <c r="AH145">
        <f t="shared" si="25"/>
        <v>0.33609690254618013</v>
      </c>
      <c r="AI145">
        <f t="shared" si="26"/>
        <v>0.27343827148302491</v>
      </c>
      <c r="AJ145">
        <f t="shared" si="27"/>
        <v>6921.5</v>
      </c>
      <c r="AK145">
        <f t="shared" si="28"/>
        <v>0.73249790626260125</v>
      </c>
      <c r="AL145">
        <f t="shared" si="29"/>
        <v>0.25241341802148282</v>
      </c>
      <c r="AM145">
        <f t="shared" si="30"/>
        <v>1.0360482144868761</v>
      </c>
      <c r="AN145">
        <f t="shared" si="31"/>
        <v>1.7704990594223747E-2</v>
      </c>
      <c r="AO145">
        <f t="shared" si="32"/>
        <v>-0.23270813918700184</v>
      </c>
      <c r="AP145">
        <f t="shared" si="33"/>
        <v>0.10198558062483959</v>
      </c>
      <c r="AQ145">
        <f t="shared" si="34"/>
        <v>0.55069946338285924</v>
      </c>
      <c r="AR145">
        <f t="shared" si="35"/>
        <v>0.57055119575669222</v>
      </c>
    </row>
    <row r="146" spans="1:44" x14ac:dyDescent="0.25">
      <c r="A146">
        <v>144</v>
      </c>
      <c r="B146">
        <v>-31.905000000000001</v>
      </c>
      <c r="C146">
        <v>25.43</v>
      </c>
      <c r="D146" s="1">
        <v>40980</v>
      </c>
      <c r="H146">
        <v>162.5</v>
      </c>
      <c r="I146">
        <v>10932</v>
      </c>
      <c r="J146">
        <v>9338</v>
      </c>
      <c r="K146">
        <v>553</v>
      </c>
      <c r="L146">
        <v>9645.5</v>
      </c>
      <c r="M146">
        <v>82</v>
      </c>
      <c r="N146">
        <v>45586</v>
      </c>
      <c r="O146">
        <v>9431.5</v>
      </c>
      <c r="P146">
        <v>1056</v>
      </c>
      <c r="Q146">
        <v>8650</v>
      </c>
      <c r="R146">
        <v>3332.5</v>
      </c>
      <c r="S146">
        <v>10588.5</v>
      </c>
      <c r="T146">
        <v>14117</v>
      </c>
      <c r="U146">
        <v>45586</v>
      </c>
      <c r="V146">
        <v>12976</v>
      </c>
      <c r="W146">
        <v>11284</v>
      </c>
      <c r="Y146">
        <v>5440</v>
      </c>
      <c r="AA146">
        <v>9</v>
      </c>
      <c r="AB146">
        <v>0.12715078446245301</v>
      </c>
      <c r="AC146">
        <v>0.19072236970797801</v>
      </c>
      <c r="AD146">
        <v>9.5644279289740005E-3</v>
      </c>
      <c r="AE146">
        <v>-4.2114199239656001E-2</v>
      </c>
      <c r="AF146">
        <v>-2480.67445</v>
      </c>
      <c r="AG146">
        <f t="shared" si="24"/>
        <v>0.82299741602067178</v>
      </c>
      <c r="AH146">
        <f t="shared" si="25"/>
        <v>0.14749396786159696</v>
      </c>
      <c r="AI146">
        <f t="shared" si="26"/>
        <v>0.14282244844265446</v>
      </c>
      <c r="AJ146">
        <f t="shared" si="27"/>
        <v>3527.5</v>
      </c>
      <c r="AK146">
        <f t="shared" si="28"/>
        <v>0.91917546220868451</v>
      </c>
      <c r="AL146">
        <f t="shared" si="29"/>
        <v>0.11153104208495729</v>
      </c>
      <c r="AM146">
        <f t="shared" si="30"/>
        <v>0.96857848518111966</v>
      </c>
      <c r="AN146">
        <f t="shared" si="31"/>
        <v>-1.5961525057503312E-2</v>
      </c>
      <c r="AO146">
        <f t="shared" si="32"/>
        <v>-0.11326539343659103</v>
      </c>
      <c r="AP146">
        <f t="shared" si="33"/>
        <v>6.9744435284418801E-2</v>
      </c>
      <c r="AQ146">
        <f t="shared" si="34"/>
        <v>0.77438549266841394</v>
      </c>
      <c r="AR146">
        <f t="shared" si="35"/>
        <v>0.75005312743500741</v>
      </c>
    </row>
    <row r="147" spans="1:44" x14ac:dyDescent="0.25">
      <c r="A147">
        <v>145</v>
      </c>
      <c r="B147">
        <v>-32.761111</v>
      </c>
      <c r="C147">
        <v>26.629443999999999</v>
      </c>
      <c r="D147" s="1">
        <v>41751</v>
      </c>
      <c r="H147">
        <v>261.5</v>
      </c>
      <c r="I147">
        <v>11057</v>
      </c>
      <c r="J147">
        <v>9438</v>
      </c>
      <c r="K147">
        <v>663</v>
      </c>
      <c r="L147">
        <v>9682</v>
      </c>
      <c r="M147">
        <v>68.5</v>
      </c>
      <c r="N147">
        <v>45537</v>
      </c>
      <c r="O147">
        <v>9376</v>
      </c>
      <c r="P147">
        <v>1291</v>
      </c>
      <c r="Q147">
        <v>8301</v>
      </c>
      <c r="R147">
        <v>217.5</v>
      </c>
      <c r="S147">
        <v>10545</v>
      </c>
      <c r="T147">
        <v>16268.5</v>
      </c>
      <c r="U147">
        <v>45537</v>
      </c>
      <c r="V147">
        <v>16821</v>
      </c>
      <c r="W147">
        <v>13337.5</v>
      </c>
      <c r="Y147">
        <v>5440</v>
      </c>
      <c r="AA147">
        <v>12</v>
      </c>
      <c r="AB147">
        <v>0.190719291504272</v>
      </c>
      <c r="AC147">
        <v>0.28607370270072402</v>
      </c>
      <c r="AD147">
        <v>4.0524778620683197E-2</v>
      </c>
      <c r="AE147">
        <v>1.6697139575998401E-2</v>
      </c>
      <c r="AF147">
        <v>-5372.7705999999898</v>
      </c>
      <c r="AG147">
        <f t="shared" si="24"/>
        <v>1.1016572950577095</v>
      </c>
      <c r="AH147">
        <f t="shared" si="25"/>
        <v>0.22123308275079173</v>
      </c>
      <c r="AI147">
        <f t="shared" si="26"/>
        <v>0.21345590840434855</v>
      </c>
      <c r="AJ147">
        <f t="shared" si="27"/>
        <v>5722.5</v>
      </c>
      <c r="AK147">
        <f t="shared" si="28"/>
        <v>1.0339613363247995</v>
      </c>
      <c r="AL147">
        <f t="shared" si="29"/>
        <v>9.9000202661622641E-2</v>
      </c>
      <c r="AM147">
        <f t="shared" si="30"/>
        <v>0.9536944921769015</v>
      </c>
      <c r="AN147">
        <f t="shared" si="31"/>
        <v>-2.3701509119525972E-2</v>
      </c>
      <c r="AO147">
        <f t="shared" si="32"/>
        <v>-1.4592480650070128E-2</v>
      </c>
      <c r="AP147">
        <f t="shared" si="33"/>
        <v>0.11550640781205962</v>
      </c>
      <c r="AQ147">
        <f t="shared" si="34"/>
        <v>0.67965700587024003</v>
      </c>
      <c r="AR147">
        <f t="shared" si="35"/>
        <v>0.64818514306789199</v>
      </c>
    </row>
    <row r="148" spans="1:44" x14ac:dyDescent="0.25">
      <c r="A148">
        <v>146</v>
      </c>
      <c r="B148">
        <v>-32.761111</v>
      </c>
      <c r="C148">
        <v>26.629443999999999</v>
      </c>
      <c r="D148" s="1">
        <v>41785</v>
      </c>
      <c r="H148">
        <v>261.5</v>
      </c>
      <c r="I148">
        <v>11057</v>
      </c>
      <c r="J148">
        <v>9438</v>
      </c>
      <c r="K148">
        <v>663</v>
      </c>
      <c r="L148">
        <v>9682</v>
      </c>
      <c r="M148">
        <v>68.5</v>
      </c>
      <c r="N148">
        <v>45537</v>
      </c>
      <c r="O148">
        <v>9376</v>
      </c>
      <c r="P148">
        <v>1291</v>
      </c>
      <c r="Q148">
        <v>8301</v>
      </c>
      <c r="R148">
        <v>217.5</v>
      </c>
      <c r="S148">
        <v>10545</v>
      </c>
      <c r="T148">
        <v>16268.5</v>
      </c>
      <c r="U148">
        <v>45537</v>
      </c>
      <c r="V148">
        <v>16821</v>
      </c>
      <c r="W148">
        <v>13337.5</v>
      </c>
      <c r="Y148">
        <v>5440</v>
      </c>
      <c r="AA148">
        <v>12</v>
      </c>
      <c r="AB148">
        <v>0.190719291504272</v>
      </c>
      <c r="AC148">
        <v>0.28607370270072402</v>
      </c>
      <c r="AD148">
        <v>4.0524778620683197E-2</v>
      </c>
      <c r="AE148">
        <v>1.6697139575998401E-2</v>
      </c>
      <c r="AF148">
        <v>-5372.7705999999898</v>
      </c>
      <c r="AG148">
        <f t="shared" si="24"/>
        <v>1.1016572950577095</v>
      </c>
      <c r="AH148">
        <f t="shared" si="25"/>
        <v>0.22123308275079173</v>
      </c>
      <c r="AI148">
        <f t="shared" si="26"/>
        <v>0.21345590840434855</v>
      </c>
      <c r="AJ148">
        <f t="shared" si="27"/>
        <v>5722.5</v>
      </c>
      <c r="AK148">
        <f t="shared" si="28"/>
        <v>1.0339613363247995</v>
      </c>
      <c r="AL148">
        <f t="shared" si="29"/>
        <v>9.9000202661622641E-2</v>
      </c>
      <c r="AM148">
        <f t="shared" si="30"/>
        <v>0.9536944921769015</v>
      </c>
      <c r="AN148">
        <f t="shared" si="31"/>
        <v>-2.3701509119525972E-2</v>
      </c>
      <c r="AO148">
        <f t="shared" si="32"/>
        <v>-1.4592480650070128E-2</v>
      </c>
      <c r="AP148">
        <f t="shared" si="33"/>
        <v>0.11550640781205962</v>
      </c>
      <c r="AQ148">
        <f t="shared" si="34"/>
        <v>0.67965700587024003</v>
      </c>
      <c r="AR148">
        <f t="shared" si="35"/>
        <v>0.64818514306789199</v>
      </c>
    </row>
    <row r="149" spans="1:44" x14ac:dyDescent="0.25">
      <c r="A149">
        <v>147</v>
      </c>
      <c r="B149">
        <v>-32.802778000000004</v>
      </c>
      <c r="C149">
        <v>27.856389</v>
      </c>
      <c r="D149" s="1">
        <v>42240</v>
      </c>
      <c r="H149">
        <v>232</v>
      </c>
      <c r="I149">
        <v>8516</v>
      </c>
      <c r="J149">
        <v>7993.5</v>
      </c>
      <c r="K149">
        <v>406</v>
      </c>
      <c r="L149">
        <v>9828</v>
      </c>
      <c r="M149">
        <v>149</v>
      </c>
      <c r="O149">
        <v>8038</v>
      </c>
      <c r="P149">
        <v>765</v>
      </c>
      <c r="Q149">
        <v>8965</v>
      </c>
      <c r="R149">
        <v>286.5</v>
      </c>
      <c r="S149">
        <v>8634</v>
      </c>
      <c r="T149">
        <v>14958</v>
      </c>
      <c r="V149">
        <v>11684.5</v>
      </c>
      <c r="W149">
        <v>9569</v>
      </c>
      <c r="Y149">
        <v>21824</v>
      </c>
      <c r="AB149">
        <v>0.27443128567777098</v>
      </c>
      <c r="AC149">
        <v>0.41163816055719998</v>
      </c>
      <c r="AD149">
        <v>-6.3751390433815294E-2</v>
      </c>
      <c r="AE149">
        <v>-0.122867598761377</v>
      </c>
      <c r="AF149">
        <v>-1875.06629999999</v>
      </c>
      <c r="AG149">
        <f t="shared" si="24"/>
        <v>2.6385418799918083</v>
      </c>
      <c r="AH149">
        <f t="shared" si="25"/>
        <v>0.3183381215770873</v>
      </c>
      <c r="AI149">
        <f t="shared" si="26"/>
        <v>0.26805696846388605</v>
      </c>
      <c r="AJ149">
        <f t="shared" si="27"/>
        <v>6323</v>
      </c>
      <c r="AK149">
        <f t="shared" si="28"/>
        <v>0.7811538975798904</v>
      </c>
      <c r="AL149">
        <f t="shared" si="29"/>
        <v>0.21971704652016144</v>
      </c>
      <c r="AM149">
        <f t="shared" si="30"/>
        <v>1.0138562705495537</v>
      </c>
      <c r="AN149">
        <f t="shared" si="31"/>
        <v>6.880466472303207E-3</v>
      </c>
      <c r="AO149">
        <f t="shared" si="32"/>
        <v>-0.20517920411109869</v>
      </c>
      <c r="AP149">
        <f t="shared" si="33"/>
        <v>9.9536546921683483E-2</v>
      </c>
      <c r="AQ149">
        <f t="shared" si="34"/>
        <v>0.56932745019387621</v>
      </c>
      <c r="AR149">
        <f t="shared" si="35"/>
        <v>0.57721620537505014</v>
      </c>
    </row>
    <row r="150" spans="1:44" x14ac:dyDescent="0.25">
      <c r="A150">
        <v>148</v>
      </c>
      <c r="B150">
        <v>-32.991638889999997</v>
      </c>
      <c r="C150">
        <v>27.64002778</v>
      </c>
      <c r="D150" s="1">
        <v>40871</v>
      </c>
      <c r="H150">
        <v>235</v>
      </c>
      <c r="I150">
        <v>9853</v>
      </c>
      <c r="J150">
        <v>8794.5</v>
      </c>
      <c r="K150">
        <v>1355</v>
      </c>
      <c r="L150">
        <v>9846</v>
      </c>
      <c r="M150">
        <v>47</v>
      </c>
      <c r="N150">
        <v>45723.5</v>
      </c>
      <c r="O150">
        <v>9413</v>
      </c>
      <c r="P150">
        <v>3032</v>
      </c>
      <c r="Q150">
        <v>6391</v>
      </c>
      <c r="R150">
        <v>836.5</v>
      </c>
      <c r="S150">
        <v>9949.5</v>
      </c>
      <c r="T150">
        <v>17585</v>
      </c>
      <c r="U150">
        <v>45723.5</v>
      </c>
      <c r="V150">
        <v>13643</v>
      </c>
      <c r="W150">
        <v>10482</v>
      </c>
      <c r="Y150">
        <v>5440</v>
      </c>
      <c r="AA150">
        <v>18</v>
      </c>
      <c r="AB150">
        <v>0.28179896493913498</v>
      </c>
      <c r="AC150">
        <v>0.42269074475645502</v>
      </c>
      <c r="AD150">
        <v>-5.7813956752313198E-2</v>
      </c>
      <c r="AE150">
        <v>-0.12623286793902899</v>
      </c>
      <c r="AF150">
        <v>-1970.6322</v>
      </c>
      <c r="AG150">
        <f t="shared" si="24"/>
        <v>1.7989344128801099</v>
      </c>
      <c r="AH150">
        <f t="shared" si="25"/>
        <v>0.32688489315610081</v>
      </c>
      <c r="AI150">
        <f t="shared" si="26"/>
        <v>0.27730665165519619</v>
      </c>
      <c r="AJ150">
        <f t="shared" si="27"/>
        <v>7634.5</v>
      </c>
      <c r="AK150">
        <f t="shared" si="28"/>
        <v>0.77583167472277514</v>
      </c>
      <c r="AL150">
        <f t="shared" si="29"/>
        <v>0.25307300388356435</v>
      </c>
      <c r="AM150">
        <f t="shared" si="30"/>
        <v>1.0097939713792754</v>
      </c>
      <c r="AN150">
        <f t="shared" si="31"/>
        <v>4.873122080545386E-3</v>
      </c>
      <c r="AO150">
        <f t="shared" si="32"/>
        <v>-0.21446934542899132</v>
      </c>
      <c r="AP150">
        <f t="shared" si="33"/>
        <v>0.13102590673575129</v>
      </c>
      <c r="AQ150">
        <f t="shared" si="34"/>
        <v>0.56030707989764006</v>
      </c>
      <c r="AR150">
        <f t="shared" si="35"/>
        <v>0.56579471140176285</v>
      </c>
    </row>
    <row r="151" spans="1:44" x14ac:dyDescent="0.25">
      <c r="A151">
        <v>149</v>
      </c>
      <c r="B151">
        <v>-32.579166999999998</v>
      </c>
      <c r="C151">
        <v>27.366667</v>
      </c>
      <c r="D151" s="1">
        <v>41786</v>
      </c>
      <c r="H151">
        <v>318.5</v>
      </c>
      <c r="I151">
        <v>8246</v>
      </c>
      <c r="J151">
        <v>7707.5</v>
      </c>
      <c r="K151">
        <v>331</v>
      </c>
      <c r="L151">
        <v>9638</v>
      </c>
      <c r="M151">
        <v>138</v>
      </c>
      <c r="O151">
        <v>7543</v>
      </c>
      <c r="P151">
        <v>596.5</v>
      </c>
      <c r="Q151">
        <v>9082</v>
      </c>
      <c r="R151">
        <v>148.5</v>
      </c>
      <c r="S151">
        <v>8226.5</v>
      </c>
      <c r="T151">
        <v>12323</v>
      </c>
      <c r="V151">
        <v>10719</v>
      </c>
      <c r="W151">
        <v>8994</v>
      </c>
      <c r="Y151">
        <v>21824</v>
      </c>
      <c r="AB151">
        <v>0.198210899897904</v>
      </c>
      <c r="AC151">
        <v>0.297309122730255</v>
      </c>
      <c r="AD151">
        <v>-2.7323665551153301E-2</v>
      </c>
      <c r="AE151">
        <v>-6.9612012846107102E-2</v>
      </c>
      <c r="AF151">
        <v>-2035.7773</v>
      </c>
      <c r="AG151">
        <f t="shared" si="24"/>
        <v>2.5521126760563382</v>
      </c>
      <c r="AH151">
        <f t="shared" si="25"/>
        <v>0.2299228553815518</v>
      </c>
      <c r="AI151">
        <f t="shared" si="26"/>
        <v>0.19934791600768875</v>
      </c>
      <c r="AJ151">
        <f t="shared" si="27"/>
        <v>4095.5</v>
      </c>
      <c r="AK151">
        <f t="shared" si="28"/>
        <v>0.86983689036760525</v>
      </c>
      <c r="AL151">
        <f t="shared" si="29"/>
        <v>0.15616643993057183</v>
      </c>
      <c r="AM151">
        <f t="shared" si="30"/>
        <v>0.9976352170749454</v>
      </c>
      <c r="AN151">
        <f t="shared" si="31"/>
        <v>-1.1837911670966763E-3</v>
      </c>
      <c r="AO151">
        <f t="shared" si="32"/>
        <v>-0.13253349801141368</v>
      </c>
      <c r="AP151">
        <f t="shared" si="33"/>
        <v>8.7505706893927865E-2</v>
      </c>
      <c r="AQ151">
        <f t="shared" si="34"/>
        <v>0.66915523817252287</v>
      </c>
      <c r="AR151">
        <f t="shared" si="35"/>
        <v>0.66757283129108169</v>
      </c>
    </row>
    <row r="152" spans="1:44" x14ac:dyDescent="0.25">
      <c r="A152">
        <v>150</v>
      </c>
      <c r="B152">
        <v>-32.802778000000004</v>
      </c>
      <c r="C152">
        <v>27.856389</v>
      </c>
      <c r="D152" s="1">
        <v>41942</v>
      </c>
      <c r="H152">
        <v>223</v>
      </c>
      <c r="I152">
        <v>8850.5</v>
      </c>
      <c r="J152">
        <v>8432</v>
      </c>
      <c r="K152">
        <v>852</v>
      </c>
      <c r="L152">
        <v>9828</v>
      </c>
      <c r="M152">
        <v>149</v>
      </c>
      <c r="O152">
        <v>8965</v>
      </c>
      <c r="P152">
        <v>1753</v>
      </c>
      <c r="Q152">
        <v>7711.5</v>
      </c>
      <c r="R152">
        <v>905</v>
      </c>
      <c r="S152">
        <v>9084.5</v>
      </c>
      <c r="T152">
        <v>14831</v>
      </c>
      <c r="V152">
        <v>13506.5</v>
      </c>
      <c r="W152">
        <v>10759.5</v>
      </c>
      <c r="Y152">
        <v>21824</v>
      </c>
      <c r="AB152">
        <v>0.25253890167430199</v>
      </c>
      <c r="AC152">
        <v>0.37880035469977102</v>
      </c>
      <c r="AD152">
        <v>-1.9859710653222201E-2</v>
      </c>
      <c r="AE152">
        <v>-4.67401852668725E-2</v>
      </c>
      <c r="AF152">
        <v>-3492.84419999999</v>
      </c>
      <c r="AG152">
        <f t="shared" si="24"/>
        <v>3.1845047923322682</v>
      </c>
      <c r="AH152">
        <f t="shared" si="25"/>
        <v>0.29294314672197808</v>
      </c>
      <c r="AI152">
        <f t="shared" si="26"/>
        <v>0.24028349814973551</v>
      </c>
      <c r="AJ152">
        <f t="shared" si="27"/>
        <v>5745.5</v>
      </c>
      <c r="AK152">
        <f t="shared" si="28"/>
        <v>0.91069381700492213</v>
      </c>
      <c r="AL152">
        <f t="shared" si="29"/>
        <v>0.15910201051171333</v>
      </c>
      <c r="AM152">
        <f t="shared" si="30"/>
        <v>1.0264391842268799</v>
      </c>
      <c r="AN152">
        <f t="shared" si="31"/>
        <v>1.3047114580429328E-2</v>
      </c>
      <c r="AO152">
        <f t="shared" si="32"/>
        <v>-6.3548023492628669E-2</v>
      </c>
      <c r="AP152">
        <f t="shared" si="33"/>
        <v>0.11320365944119344</v>
      </c>
      <c r="AQ152">
        <f t="shared" si="34"/>
        <v>0.59675679320342523</v>
      </c>
      <c r="AR152">
        <f t="shared" si="35"/>
        <v>0.61253455599757267</v>
      </c>
    </row>
    <row r="153" spans="1:44" x14ac:dyDescent="0.25">
      <c r="A153">
        <v>151</v>
      </c>
      <c r="B153">
        <v>-32.991638889999997</v>
      </c>
      <c r="C153">
        <v>27.64002778</v>
      </c>
      <c r="D153" s="1">
        <v>41228</v>
      </c>
      <c r="H153">
        <v>203.5</v>
      </c>
      <c r="I153">
        <v>9913</v>
      </c>
      <c r="J153">
        <v>8791.5</v>
      </c>
      <c r="K153">
        <v>939</v>
      </c>
      <c r="L153">
        <v>9842</v>
      </c>
      <c r="M153">
        <v>47</v>
      </c>
      <c r="N153">
        <v>45728.5</v>
      </c>
      <c r="O153">
        <v>9599</v>
      </c>
      <c r="P153">
        <v>1954</v>
      </c>
      <c r="Q153">
        <v>7660</v>
      </c>
      <c r="R153">
        <v>1109.5</v>
      </c>
      <c r="S153">
        <v>10002.5</v>
      </c>
      <c r="T153">
        <v>16912</v>
      </c>
      <c r="U153">
        <v>45728.5</v>
      </c>
      <c r="V153">
        <v>13444.5</v>
      </c>
      <c r="W153">
        <v>10740.5</v>
      </c>
      <c r="Y153">
        <v>5440</v>
      </c>
      <c r="AA153">
        <v>121.5</v>
      </c>
      <c r="AB153">
        <v>0.26091332712022303</v>
      </c>
      <c r="AC153">
        <v>0.391362695942293</v>
      </c>
      <c r="AD153">
        <v>-4.7818022461833198E-2</v>
      </c>
      <c r="AE153">
        <v>-0.11422594831419899</v>
      </c>
      <c r="AF153">
        <v>-2146.7993999999999</v>
      </c>
      <c r="AG153">
        <f t="shared" si="24"/>
        <v>1.6736411678901935</v>
      </c>
      <c r="AH153">
        <f t="shared" si="25"/>
        <v>0.30265765423207164</v>
      </c>
      <c r="AI153">
        <f t="shared" si="26"/>
        <v>0.25672035519887049</v>
      </c>
      <c r="AJ153">
        <f t="shared" si="27"/>
        <v>6908.5</v>
      </c>
      <c r="AK153">
        <f t="shared" si="28"/>
        <v>0.79496807000946079</v>
      </c>
      <c r="AL153">
        <f t="shared" si="29"/>
        <v>0.22318054425458819</v>
      </c>
      <c r="AM153">
        <f t="shared" si="30"/>
        <v>1.0090285483708261</v>
      </c>
      <c r="AN153">
        <f t="shared" si="31"/>
        <v>4.4939870954783965E-3</v>
      </c>
      <c r="AO153">
        <f t="shared" si="32"/>
        <v>-0.19608416693130404</v>
      </c>
      <c r="AP153">
        <f t="shared" si="33"/>
        <v>0.11180483770932396</v>
      </c>
      <c r="AQ153">
        <f t="shared" si="34"/>
        <v>0.58615184484389782</v>
      </c>
      <c r="AR153">
        <f t="shared" si="35"/>
        <v>0.59144394512771992</v>
      </c>
    </row>
    <row r="154" spans="1:44" x14ac:dyDescent="0.25">
      <c r="A154">
        <v>152</v>
      </c>
      <c r="B154">
        <v>-32.515278000000002</v>
      </c>
      <c r="C154">
        <v>28.015556</v>
      </c>
      <c r="D154" s="1">
        <v>41402</v>
      </c>
      <c r="H154">
        <v>365.5</v>
      </c>
      <c r="I154">
        <v>10614.5</v>
      </c>
      <c r="J154">
        <v>9031.5</v>
      </c>
      <c r="K154">
        <v>1201</v>
      </c>
      <c r="L154">
        <v>9846</v>
      </c>
      <c r="M154">
        <v>60</v>
      </c>
      <c r="N154">
        <v>44214.5</v>
      </c>
      <c r="O154">
        <v>8781</v>
      </c>
      <c r="P154">
        <v>2597</v>
      </c>
      <c r="Q154">
        <v>6668</v>
      </c>
      <c r="R154">
        <v>109</v>
      </c>
      <c r="S154">
        <v>10271.5</v>
      </c>
      <c r="T154">
        <v>17240.5</v>
      </c>
      <c r="U154">
        <v>44214.5</v>
      </c>
      <c r="V154">
        <v>11701.5</v>
      </c>
      <c r="W154">
        <v>9038</v>
      </c>
      <c r="X154">
        <v>0.5</v>
      </c>
      <c r="Y154">
        <v>5440</v>
      </c>
      <c r="AA154">
        <v>26</v>
      </c>
      <c r="AB154">
        <v>0.23787470831089499</v>
      </c>
      <c r="AC154">
        <v>0.35680565776956003</v>
      </c>
      <c r="AD154">
        <v>-8.1419280480777095E-2</v>
      </c>
      <c r="AE154">
        <v>-0.19138276553106201</v>
      </c>
      <c r="AF154">
        <v>301.42354999999998</v>
      </c>
      <c r="AG154">
        <f t="shared" si="24"/>
        <v>1.2556614679072942</v>
      </c>
      <c r="AH154">
        <f t="shared" si="25"/>
        <v>0.2759330766723293</v>
      </c>
      <c r="AI154">
        <f t="shared" si="26"/>
        <v>0.25330764757196861</v>
      </c>
      <c r="AJ154">
        <f t="shared" si="27"/>
        <v>6968</v>
      </c>
      <c r="AK154">
        <f t="shared" si="28"/>
        <v>0.67872161480235493</v>
      </c>
      <c r="AL154">
        <f t="shared" si="29"/>
        <v>0.31213729855204825</v>
      </c>
      <c r="AM154">
        <f t="shared" si="30"/>
        <v>0.9676857129398464</v>
      </c>
      <c r="AN154">
        <f t="shared" si="31"/>
        <v>-1.6422483960547737E-2</v>
      </c>
      <c r="AO154">
        <f t="shared" si="32"/>
        <v>-0.35467175520202621</v>
      </c>
      <c r="AP154">
        <f t="shared" si="33"/>
        <v>0.12842643265266762</v>
      </c>
      <c r="AQ154">
        <f t="shared" si="34"/>
        <v>0.61567239929236395</v>
      </c>
      <c r="AR154">
        <f t="shared" si="35"/>
        <v>0.595777384646617</v>
      </c>
    </row>
    <row r="155" spans="1:44" x14ac:dyDescent="0.25">
      <c r="A155">
        <v>153</v>
      </c>
      <c r="B155">
        <v>-32.605277999999998</v>
      </c>
      <c r="C155">
        <v>25.885000000000002</v>
      </c>
      <c r="D155" s="1">
        <v>41557</v>
      </c>
      <c r="H155">
        <v>153.5</v>
      </c>
      <c r="I155">
        <v>11605.5</v>
      </c>
      <c r="J155">
        <v>9187.5</v>
      </c>
      <c r="K155">
        <v>597</v>
      </c>
      <c r="L155">
        <v>9701</v>
      </c>
      <c r="M155">
        <v>64</v>
      </c>
      <c r="O155">
        <v>10477</v>
      </c>
      <c r="P155">
        <v>1167</v>
      </c>
      <c r="Q155">
        <v>8494</v>
      </c>
      <c r="R155">
        <v>4803.5</v>
      </c>
      <c r="S155">
        <v>10640.5</v>
      </c>
      <c r="T155">
        <v>15316</v>
      </c>
      <c r="V155">
        <v>16707.5</v>
      </c>
      <c r="W155">
        <v>14486</v>
      </c>
      <c r="Y155">
        <v>21824</v>
      </c>
      <c r="AB155">
        <v>0.13782664413201301</v>
      </c>
      <c r="AC155">
        <v>0.20673612658792001</v>
      </c>
      <c r="AD155">
        <v>7.2127081499152701E-2</v>
      </c>
      <c r="AE155">
        <v>4.3452464596312003E-2</v>
      </c>
      <c r="AF155">
        <v>-5979.0463999999902</v>
      </c>
      <c r="AG155">
        <f t="shared" si="24"/>
        <v>0.57818465134398134</v>
      </c>
      <c r="AH155">
        <f t="shared" si="25"/>
        <v>0.15987795700562296</v>
      </c>
      <c r="AI155">
        <f t="shared" si="26"/>
        <v>0.18012829156473331</v>
      </c>
      <c r="AJ155">
        <f t="shared" si="27"/>
        <v>4674.5</v>
      </c>
      <c r="AK155">
        <f t="shared" si="28"/>
        <v>1.0908527030556281</v>
      </c>
      <c r="AL155">
        <f t="shared" si="29"/>
        <v>2.7850479833568215E-2</v>
      </c>
      <c r="AM155">
        <f t="shared" si="30"/>
        <v>0.91684976950583774</v>
      </c>
      <c r="AN155">
        <f t="shared" si="31"/>
        <v>-4.3378584914141871E-2</v>
      </c>
      <c r="AO155">
        <f t="shared" si="32"/>
        <v>1.6147613959960339E-4</v>
      </c>
      <c r="AP155">
        <f t="shared" si="33"/>
        <v>7.121675990190264E-2</v>
      </c>
      <c r="AQ155">
        <f t="shared" si="34"/>
        <v>0.75773700705144942</v>
      </c>
      <c r="AR155">
        <f t="shared" si="35"/>
        <v>0.69473100026116474</v>
      </c>
    </row>
    <row r="156" spans="1:44" x14ac:dyDescent="0.25">
      <c r="A156">
        <v>154</v>
      </c>
      <c r="B156">
        <v>-32.579166999999998</v>
      </c>
      <c r="C156">
        <v>27.366667</v>
      </c>
      <c r="D156" s="1">
        <v>41702</v>
      </c>
      <c r="H156">
        <v>370</v>
      </c>
      <c r="I156">
        <v>8512.5</v>
      </c>
      <c r="J156">
        <v>8160</v>
      </c>
      <c r="K156">
        <v>458.5</v>
      </c>
      <c r="L156">
        <v>9651</v>
      </c>
      <c r="M156">
        <v>138</v>
      </c>
      <c r="N156">
        <v>41857.5</v>
      </c>
      <c r="O156">
        <v>7925</v>
      </c>
      <c r="P156">
        <v>853</v>
      </c>
      <c r="Q156">
        <v>8717.5</v>
      </c>
      <c r="R156">
        <v>74</v>
      </c>
      <c r="S156">
        <v>8887</v>
      </c>
      <c r="T156">
        <v>15589</v>
      </c>
      <c r="U156">
        <v>41857.5</v>
      </c>
      <c r="V156">
        <v>11351.5</v>
      </c>
      <c r="W156">
        <v>9096</v>
      </c>
      <c r="X156">
        <v>1</v>
      </c>
      <c r="Y156">
        <v>5440</v>
      </c>
      <c r="AA156">
        <v>28</v>
      </c>
      <c r="AB156">
        <v>0.29361243076157001</v>
      </c>
      <c r="AC156">
        <v>0.440409509584266</v>
      </c>
      <c r="AD156">
        <v>-8.9078944351454803E-2</v>
      </c>
      <c r="AE156">
        <v>-0.157291067352127</v>
      </c>
      <c r="AF156">
        <v>-1133.52179999999</v>
      </c>
      <c r="AG156">
        <f t="shared" si="24"/>
        <v>3.2371912168344008</v>
      </c>
      <c r="AH156">
        <f t="shared" si="25"/>
        <v>0.34058815865795133</v>
      </c>
      <c r="AI156">
        <f t="shared" si="26"/>
        <v>0.2738192515116849</v>
      </c>
      <c r="AJ156">
        <f t="shared" si="27"/>
        <v>6701</v>
      </c>
      <c r="AK156">
        <f t="shared" si="28"/>
        <v>0.72817371223298477</v>
      </c>
      <c r="AL156">
        <f t="shared" si="29"/>
        <v>0.26303423131456349</v>
      </c>
      <c r="AM156">
        <f t="shared" si="30"/>
        <v>1.0439941262848751</v>
      </c>
      <c r="AN156">
        <f t="shared" si="31"/>
        <v>2.1523607000201155E-2</v>
      </c>
      <c r="AO156">
        <f t="shared" si="32"/>
        <v>-0.22968608297349657</v>
      </c>
      <c r="AP156">
        <f t="shared" si="33"/>
        <v>0.11030688348208828</v>
      </c>
      <c r="AQ156">
        <f t="shared" si="34"/>
        <v>0.54605811790365</v>
      </c>
      <c r="AR156">
        <f t="shared" si="35"/>
        <v>0.57008146770158441</v>
      </c>
    </row>
    <row r="157" spans="1:44" x14ac:dyDescent="0.25">
      <c r="A157">
        <v>155</v>
      </c>
      <c r="B157">
        <v>-32.515278000000002</v>
      </c>
      <c r="C157">
        <v>28.015556</v>
      </c>
      <c r="D157" s="1">
        <v>40562</v>
      </c>
      <c r="H157">
        <v>390.5</v>
      </c>
      <c r="I157">
        <v>9920.5</v>
      </c>
      <c r="J157">
        <v>8641.5</v>
      </c>
      <c r="K157">
        <v>1418</v>
      </c>
      <c r="L157">
        <v>9840</v>
      </c>
      <c r="M157">
        <v>60</v>
      </c>
      <c r="N157">
        <v>45052</v>
      </c>
      <c r="O157">
        <v>8892</v>
      </c>
      <c r="P157">
        <v>3143</v>
      </c>
      <c r="Q157">
        <v>5969</v>
      </c>
      <c r="R157">
        <v>97</v>
      </c>
      <c r="S157">
        <v>9528</v>
      </c>
      <c r="T157">
        <v>15234</v>
      </c>
      <c r="U157">
        <v>45052</v>
      </c>
      <c r="V157">
        <v>10237</v>
      </c>
      <c r="W157">
        <v>8548</v>
      </c>
      <c r="X157">
        <v>1</v>
      </c>
      <c r="Y157">
        <v>5440</v>
      </c>
      <c r="AA157">
        <v>103</v>
      </c>
      <c r="AB157">
        <v>0.21123457035520399</v>
      </c>
      <c r="AC157">
        <v>0.31684555754323102</v>
      </c>
      <c r="AD157">
        <v>-8.4436672495628196E-2</v>
      </c>
      <c r="AE157">
        <v>-0.19618389541046599</v>
      </c>
      <c r="AF157">
        <v>450.02289999999903</v>
      </c>
      <c r="AG157">
        <f t="shared" si="24"/>
        <v>1.3354864654284062</v>
      </c>
      <c r="AH157">
        <f t="shared" si="25"/>
        <v>0.24503054304848484</v>
      </c>
      <c r="AI157">
        <f t="shared" si="26"/>
        <v>0.23043372910104193</v>
      </c>
      <c r="AJ157">
        <f t="shared" si="27"/>
        <v>5705</v>
      </c>
      <c r="AK157">
        <f t="shared" si="28"/>
        <v>0.67198372062491796</v>
      </c>
      <c r="AL157">
        <f t="shared" si="29"/>
        <v>0.2811369943654865</v>
      </c>
      <c r="AM157">
        <f t="shared" si="30"/>
        <v>0.96043546192228213</v>
      </c>
      <c r="AN157">
        <f t="shared" si="31"/>
        <v>-2.0181505000385635E-2</v>
      </c>
      <c r="AO157">
        <f t="shared" si="32"/>
        <v>-0.36921065385031304</v>
      </c>
      <c r="AP157">
        <f t="shared" si="33"/>
        <v>8.9912163960606861E-2</v>
      </c>
      <c r="AQ157">
        <f t="shared" si="34"/>
        <v>0.65120782460286197</v>
      </c>
      <c r="AR157">
        <f t="shared" si="35"/>
        <v>0.62544308782985425</v>
      </c>
    </row>
    <row r="158" spans="1:44" x14ac:dyDescent="0.25">
      <c r="A158">
        <v>156</v>
      </c>
      <c r="B158">
        <v>-32.515278000000002</v>
      </c>
      <c r="C158">
        <v>28.015556</v>
      </c>
      <c r="D158" s="1">
        <v>41739</v>
      </c>
      <c r="H158">
        <v>220</v>
      </c>
      <c r="I158">
        <v>10226.5</v>
      </c>
      <c r="J158">
        <v>8799.5</v>
      </c>
      <c r="K158">
        <v>754</v>
      </c>
      <c r="L158">
        <v>9841.5</v>
      </c>
      <c r="M158">
        <v>60</v>
      </c>
      <c r="N158">
        <v>43484.5</v>
      </c>
      <c r="O158">
        <v>8650.5</v>
      </c>
      <c r="P158">
        <v>1515</v>
      </c>
      <c r="Q158">
        <v>8018</v>
      </c>
      <c r="R158">
        <v>694.5</v>
      </c>
      <c r="S158">
        <v>10121.5</v>
      </c>
      <c r="T158">
        <v>14961</v>
      </c>
      <c r="U158">
        <v>43484.5</v>
      </c>
      <c r="V158">
        <v>11054</v>
      </c>
      <c r="W158">
        <v>8926.5</v>
      </c>
      <c r="X158">
        <v>1</v>
      </c>
      <c r="Y158">
        <v>5440</v>
      </c>
      <c r="AA158">
        <v>9</v>
      </c>
      <c r="AB158">
        <v>0.187970223325062</v>
      </c>
      <c r="AC158">
        <v>0.28194973797046202</v>
      </c>
      <c r="AD158">
        <v>-5.5060944472813601E-2</v>
      </c>
      <c r="AE158">
        <v>-0.15018258696905601</v>
      </c>
      <c r="AF158">
        <v>-155.57409999999999</v>
      </c>
      <c r="AG158">
        <f t="shared" si="24"/>
        <v>1.14639579650839</v>
      </c>
      <c r="AH158">
        <f t="shared" si="25"/>
        <v>0.21804407396320261</v>
      </c>
      <c r="AI158">
        <f t="shared" si="26"/>
        <v>0.19294328715239709</v>
      </c>
      <c r="AJ158">
        <f t="shared" si="27"/>
        <v>4838.5</v>
      </c>
      <c r="AK158">
        <f t="shared" si="28"/>
        <v>0.73885435465543747</v>
      </c>
      <c r="AL158">
        <f t="shared" si="29"/>
        <v>0.25262166405023551</v>
      </c>
      <c r="AM158">
        <f t="shared" si="30"/>
        <v>0.98973255757101652</v>
      </c>
      <c r="AN158">
        <f t="shared" si="31"/>
        <v>-5.1602123058777276E-3</v>
      </c>
      <c r="AO158">
        <f t="shared" si="32"/>
        <v>-0.27151960177394552</v>
      </c>
      <c r="AP158">
        <f t="shared" si="33"/>
        <v>0.10647881684642527</v>
      </c>
      <c r="AQ158">
        <f t="shared" si="34"/>
        <v>0.68354388075663397</v>
      </c>
      <c r="AR158">
        <f t="shared" si="35"/>
        <v>0.67652563331328119</v>
      </c>
    </row>
    <row r="159" spans="1:44" x14ac:dyDescent="0.25">
      <c r="A159">
        <v>157</v>
      </c>
      <c r="B159">
        <v>-34.096389000000002</v>
      </c>
      <c r="C159">
        <v>24.439167000000001</v>
      </c>
      <c r="D159" s="1">
        <v>41646</v>
      </c>
      <c r="H159">
        <v>249</v>
      </c>
      <c r="I159">
        <v>8252</v>
      </c>
      <c r="J159">
        <v>7926</v>
      </c>
      <c r="K159">
        <v>1199</v>
      </c>
      <c r="L159">
        <v>9739</v>
      </c>
      <c r="M159">
        <v>20</v>
      </c>
      <c r="N159">
        <v>45891</v>
      </c>
      <c r="O159">
        <v>9339</v>
      </c>
      <c r="P159">
        <v>2592</v>
      </c>
      <c r="Q159">
        <v>6733</v>
      </c>
      <c r="R159">
        <v>343.5</v>
      </c>
      <c r="S159">
        <v>8462.5</v>
      </c>
      <c r="T159">
        <v>15394</v>
      </c>
      <c r="U159">
        <v>45891</v>
      </c>
      <c r="V159">
        <v>10996</v>
      </c>
      <c r="W159">
        <v>8837.5</v>
      </c>
      <c r="Y159">
        <v>5440</v>
      </c>
      <c r="AA159">
        <v>93</v>
      </c>
      <c r="AB159">
        <v>0.30203839972934099</v>
      </c>
      <c r="AC159">
        <v>0.45304801979151199</v>
      </c>
      <c r="AD159">
        <v>-9.5658710768652497E-2</v>
      </c>
      <c r="AE159">
        <v>-0.166654035619552</v>
      </c>
      <c r="AF159">
        <v>-1033.7321999999999</v>
      </c>
      <c r="AG159">
        <f t="shared" si="24"/>
        <v>3.2689491028927131</v>
      </c>
      <c r="AH159">
        <f t="shared" si="25"/>
        <v>0.35036217297015665</v>
      </c>
      <c r="AI159">
        <f t="shared" si="26"/>
        <v>0.29054974535241967</v>
      </c>
      <c r="AJ159">
        <f t="shared" si="27"/>
        <v>6930.5</v>
      </c>
      <c r="AK159">
        <f t="shared" si="28"/>
        <v>0.71430427439262045</v>
      </c>
      <c r="AL159">
        <f t="shared" si="29"/>
        <v>0.27057755401027589</v>
      </c>
      <c r="AM159">
        <f t="shared" si="30"/>
        <v>1.0255089675230247</v>
      </c>
      <c r="AN159">
        <f t="shared" si="31"/>
        <v>1.2593855634329474E-2</v>
      </c>
      <c r="AO159">
        <f t="shared" si="32"/>
        <v>-0.26082127952170742</v>
      </c>
      <c r="AP159">
        <f t="shared" si="33"/>
        <v>0.10883101822673759</v>
      </c>
      <c r="AQ159">
        <f t="shared" si="34"/>
        <v>0.53605300766532415</v>
      </c>
      <c r="AR159">
        <f t="shared" si="35"/>
        <v>0.54972716642847863</v>
      </c>
    </row>
    <row r="160" spans="1:44" x14ac:dyDescent="0.25">
      <c r="A160">
        <v>158</v>
      </c>
      <c r="B160">
        <v>-33.185361110000002</v>
      </c>
      <c r="C160">
        <v>27.390750000000001</v>
      </c>
      <c r="D160" s="1">
        <v>41088</v>
      </c>
      <c r="H160">
        <v>197</v>
      </c>
      <c r="I160">
        <v>8752.5</v>
      </c>
      <c r="J160">
        <v>8178</v>
      </c>
      <c r="K160">
        <v>634</v>
      </c>
      <c r="L160">
        <v>9690</v>
      </c>
      <c r="M160">
        <v>80</v>
      </c>
      <c r="N160">
        <v>41232</v>
      </c>
      <c r="O160">
        <v>7627</v>
      </c>
      <c r="P160">
        <v>1246</v>
      </c>
      <c r="Q160">
        <v>8134</v>
      </c>
      <c r="R160">
        <v>1386</v>
      </c>
      <c r="S160">
        <v>8843</v>
      </c>
      <c r="T160">
        <v>13564</v>
      </c>
      <c r="U160">
        <v>41232</v>
      </c>
      <c r="V160">
        <v>11268.5</v>
      </c>
      <c r="W160">
        <v>9335</v>
      </c>
      <c r="Y160">
        <v>5440</v>
      </c>
      <c r="AA160">
        <v>9</v>
      </c>
      <c r="AB160">
        <v>0.215602805099365</v>
      </c>
      <c r="AC160">
        <v>0.32339696195725198</v>
      </c>
      <c r="AD160">
        <v>-4.1208725426813198E-2</v>
      </c>
      <c r="AE160">
        <v>-9.2439343602134294E-2</v>
      </c>
      <c r="AF160">
        <v>-1800.4976999999999</v>
      </c>
      <c r="AG160">
        <f t="shared" si="24"/>
        <v>2.5350368809272918</v>
      </c>
      <c r="AH160">
        <f t="shared" si="25"/>
        <v>0.25009746082075002</v>
      </c>
      <c r="AI160">
        <f t="shared" si="26"/>
        <v>0.21069308698174677</v>
      </c>
      <c r="AJ160">
        <f t="shared" si="27"/>
        <v>4720</v>
      </c>
      <c r="AK160">
        <f t="shared" si="28"/>
        <v>0.83076526098496017</v>
      </c>
      <c r="AL160">
        <f t="shared" si="29"/>
        <v>0.184680553735971</v>
      </c>
      <c r="AM160">
        <f t="shared" si="30"/>
        <v>1.0103399028848901</v>
      </c>
      <c r="AN160">
        <f t="shared" si="31"/>
        <v>5.1433605183143416E-3</v>
      </c>
      <c r="AO160">
        <f t="shared" si="32"/>
        <v>-0.15900065555919907</v>
      </c>
      <c r="AP160">
        <f t="shared" si="33"/>
        <v>9.3843279054529577E-2</v>
      </c>
      <c r="AQ160">
        <f t="shared" si="34"/>
        <v>0.6452742553818932</v>
      </c>
      <c r="AR160">
        <f t="shared" si="35"/>
        <v>0.65194632851666179</v>
      </c>
    </row>
    <row r="161" spans="1:44" x14ac:dyDescent="0.25">
      <c r="A161">
        <v>159</v>
      </c>
      <c r="B161">
        <v>-33.771110999999998</v>
      </c>
      <c r="C161">
        <v>25.386666999999999</v>
      </c>
      <c r="D161" s="1">
        <v>41586</v>
      </c>
      <c r="H161">
        <v>309</v>
      </c>
      <c r="I161">
        <v>9149</v>
      </c>
      <c r="J161">
        <v>8375.5</v>
      </c>
      <c r="K161">
        <v>664</v>
      </c>
      <c r="L161">
        <v>9821</v>
      </c>
      <c r="M161">
        <v>96</v>
      </c>
      <c r="O161">
        <v>9497</v>
      </c>
      <c r="P161">
        <v>1296</v>
      </c>
      <c r="Q161">
        <v>8293</v>
      </c>
      <c r="R161">
        <v>127.5</v>
      </c>
      <c r="S161">
        <v>9381</v>
      </c>
      <c r="T161">
        <v>17001.5</v>
      </c>
      <c r="V161">
        <v>13052</v>
      </c>
      <c r="W161">
        <v>10363.5</v>
      </c>
      <c r="Y161">
        <v>21824</v>
      </c>
      <c r="AB161">
        <v>0.30028106537159899</v>
      </c>
      <c r="AC161">
        <v>0.45041298611907699</v>
      </c>
      <c r="AD161">
        <v>-6.6753541552818499E-2</v>
      </c>
      <c r="AE161">
        <v>-0.13141564210491199</v>
      </c>
      <c r="AF161">
        <v>-2101.39095</v>
      </c>
      <c r="AG161">
        <f t="shared" si="24"/>
        <v>2.1619724126538364</v>
      </c>
      <c r="AH161">
        <f t="shared" si="25"/>
        <v>0.34832390463567647</v>
      </c>
      <c r="AI161">
        <f t="shared" si="26"/>
        <v>0.28884677342935661</v>
      </c>
      <c r="AJ161">
        <f t="shared" si="27"/>
        <v>7619.5</v>
      </c>
      <c r="AK161">
        <f t="shared" si="28"/>
        <v>0.76769696791459574</v>
      </c>
      <c r="AL161">
        <f t="shared" si="29"/>
        <v>0.24257262927096657</v>
      </c>
      <c r="AM161">
        <f t="shared" si="30"/>
        <v>1.0253579626188654</v>
      </c>
      <c r="AN161">
        <f t="shared" si="31"/>
        <v>1.2520237452779278E-2</v>
      </c>
      <c r="AO161">
        <f t="shared" si="32"/>
        <v>-0.20757219315565267</v>
      </c>
      <c r="AP161">
        <f t="shared" si="33"/>
        <v>0.1148171083256817</v>
      </c>
      <c r="AQ161">
        <f t="shared" si="34"/>
        <v>0.53812898861865133</v>
      </c>
      <c r="AR161">
        <f t="shared" si="35"/>
        <v>0.55177484339617089</v>
      </c>
    </row>
    <row r="162" spans="1:44" x14ac:dyDescent="0.25">
      <c r="A162">
        <v>160</v>
      </c>
      <c r="B162">
        <v>-34.096389000000002</v>
      </c>
      <c r="C162">
        <v>24.439167000000001</v>
      </c>
      <c r="D162" s="1">
        <v>40611</v>
      </c>
      <c r="H162">
        <v>214.5</v>
      </c>
      <c r="I162">
        <v>8142</v>
      </c>
      <c r="J162">
        <v>8196</v>
      </c>
      <c r="K162">
        <v>562</v>
      </c>
      <c r="L162">
        <v>9739</v>
      </c>
      <c r="M162">
        <v>33.5</v>
      </c>
      <c r="N162">
        <v>41755</v>
      </c>
      <c r="O162">
        <v>7980.5</v>
      </c>
      <c r="P162">
        <v>1085</v>
      </c>
      <c r="Q162">
        <v>8469</v>
      </c>
      <c r="R162">
        <v>366</v>
      </c>
      <c r="S162">
        <v>8511</v>
      </c>
      <c r="T162">
        <v>12003</v>
      </c>
      <c r="U162">
        <v>41755</v>
      </c>
      <c r="V162">
        <v>9158</v>
      </c>
      <c r="W162">
        <v>8134.5</v>
      </c>
      <c r="X162">
        <v>1</v>
      </c>
      <c r="Y162">
        <v>5440</v>
      </c>
      <c r="AA162">
        <v>105</v>
      </c>
      <c r="AB162">
        <v>0.19166046165301501</v>
      </c>
      <c r="AC162">
        <v>0.28748355712193702</v>
      </c>
      <c r="AD162">
        <v>-7.7308728232752796E-2</v>
      </c>
      <c r="AE162">
        <v>-0.13444544208685699</v>
      </c>
      <c r="AF162">
        <v>-546.19054999999901</v>
      </c>
      <c r="AG162">
        <f t="shared" si="24"/>
        <v>-15.720684039087947</v>
      </c>
      <c r="AH162">
        <f t="shared" si="25"/>
        <v>0.22232436972453926</v>
      </c>
      <c r="AI162">
        <f t="shared" si="26"/>
        <v>0.17022521205030711</v>
      </c>
      <c r="AJ162">
        <f t="shared" si="27"/>
        <v>3491</v>
      </c>
      <c r="AK162">
        <f t="shared" si="28"/>
        <v>0.76297592268599512</v>
      </c>
      <c r="AL162">
        <f t="shared" si="29"/>
        <v>0.19210428305400373</v>
      </c>
      <c r="AM162">
        <f t="shared" si="30"/>
        <v>1.0453205600589537</v>
      </c>
      <c r="AN162">
        <f t="shared" si="31"/>
        <v>2.2158169699153307E-2</v>
      </c>
      <c r="AO162">
        <f t="shared" si="32"/>
        <v>-0.19366841992944372</v>
      </c>
      <c r="AP162">
        <f t="shared" si="33"/>
        <v>5.9187509035709122E-2</v>
      </c>
      <c r="AQ162">
        <f t="shared" si="34"/>
        <v>0.67833041739565114</v>
      </c>
      <c r="AR162">
        <f t="shared" si="35"/>
        <v>0.70907273181704578</v>
      </c>
    </row>
    <row r="163" spans="1:44" x14ac:dyDescent="0.25">
      <c r="A163">
        <v>161</v>
      </c>
      <c r="B163">
        <v>-31.903055999999999</v>
      </c>
      <c r="C163">
        <v>25.482222</v>
      </c>
      <c r="D163" s="1">
        <v>41246</v>
      </c>
      <c r="H163">
        <v>161.5</v>
      </c>
      <c r="I163">
        <v>10914</v>
      </c>
      <c r="J163">
        <v>9265</v>
      </c>
      <c r="K163">
        <v>261</v>
      </c>
      <c r="L163">
        <v>9712</v>
      </c>
      <c r="M163">
        <v>80</v>
      </c>
      <c r="N163">
        <v>44257.5</v>
      </c>
      <c r="O163">
        <v>8967</v>
      </c>
      <c r="P163">
        <v>440.5</v>
      </c>
      <c r="Q163">
        <v>9275</v>
      </c>
      <c r="R163">
        <v>2844</v>
      </c>
      <c r="S163">
        <v>10506</v>
      </c>
      <c r="T163">
        <v>16465.5</v>
      </c>
      <c r="U163">
        <v>44257.5</v>
      </c>
      <c r="V163">
        <v>14084</v>
      </c>
      <c r="W163">
        <v>11861</v>
      </c>
      <c r="X163">
        <v>8</v>
      </c>
      <c r="Y163">
        <v>5440</v>
      </c>
      <c r="AA163">
        <v>8</v>
      </c>
      <c r="AB163">
        <v>0.20276118994137901</v>
      </c>
      <c r="AC163">
        <v>0.30413623082542002</v>
      </c>
      <c r="AD163">
        <v>-1.44396148121864E-2</v>
      </c>
      <c r="AE163">
        <v>-7.7955449352689901E-2</v>
      </c>
      <c r="AF163">
        <v>-2765.3753499999998</v>
      </c>
      <c r="AG163">
        <f t="shared" si="24"/>
        <v>1.1135962448848591</v>
      </c>
      <c r="AH163">
        <f t="shared" si="25"/>
        <v>0.23520160586362285</v>
      </c>
      <c r="AI163">
        <f t="shared" si="26"/>
        <v>0.22095545297814359</v>
      </c>
      <c r="AJ163">
        <f t="shared" si="27"/>
        <v>5958.5</v>
      </c>
      <c r="AK163">
        <f t="shared" si="28"/>
        <v>0.85536424645470832</v>
      </c>
      <c r="AL163">
        <f t="shared" si="29"/>
        <v>0.16255096817467743</v>
      </c>
      <c r="AM163">
        <f t="shared" si="30"/>
        <v>0.96261682242990654</v>
      </c>
      <c r="AN163">
        <f t="shared" si="31"/>
        <v>-1.9047619047619049E-2</v>
      </c>
      <c r="AO163">
        <f t="shared" si="32"/>
        <v>-0.18347070500160234</v>
      </c>
      <c r="AP163">
        <f t="shared" si="33"/>
        <v>8.5681248795529005E-2</v>
      </c>
      <c r="AQ163">
        <f t="shared" si="34"/>
        <v>0.66284048464972212</v>
      </c>
      <c r="AR163">
        <f t="shared" si="35"/>
        <v>0.63806140111141474</v>
      </c>
    </row>
    <row r="164" spans="1:44" x14ac:dyDescent="0.25">
      <c r="A164">
        <v>162</v>
      </c>
      <c r="B164">
        <v>-31.905000000000001</v>
      </c>
      <c r="C164">
        <v>25.43</v>
      </c>
      <c r="D164" s="1">
        <v>41554</v>
      </c>
      <c r="H164">
        <v>165</v>
      </c>
      <c r="I164">
        <v>10356.5</v>
      </c>
      <c r="J164">
        <v>8620.5</v>
      </c>
      <c r="K164">
        <v>334</v>
      </c>
      <c r="L164">
        <v>9663.5</v>
      </c>
      <c r="M164">
        <v>82</v>
      </c>
      <c r="O164">
        <v>10930</v>
      </c>
      <c r="P164">
        <v>597</v>
      </c>
      <c r="Q164">
        <v>9191</v>
      </c>
      <c r="R164">
        <v>6501.5</v>
      </c>
      <c r="S164">
        <v>9911</v>
      </c>
      <c r="T164">
        <v>12986.5</v>
      </c>
      <c r="V164">
        <v>14071</v>
      </c>
      <c r="W164">
        <v>12004.5</v>
      </c>
      <c r="Y164">
        <v>21824</v>
      </c>
      <c r="AB164">
        <v>0.11266760913335901</v>
      </c>
      <c r="AC164">
        <v>0.16899779381840699</v>
      </c>
      <c r="AD164">
        <v>6.1269265442222602E-2</v>
      </c>
      <c r="AE164">
        <v>4.0081308324863701E-2</v>
      </c>
      <c r="AF164">
        <v>-4404.6449000000002</v>
      </c>
      <c r="AG164">
        <f t="shared" si="24"/>
        <v>0.62781981809935306</v>
      </c>
      <c r="AH164">
        <f t="shared" si="25"/>
        <v>0.13069353078160797</v>
      </c>
      <c r="AI164">
        <f t="shared" si="26"/>
        <v>0.13431597335953707</v>
      </c>
      <c r="AJ164">
        <f t="shared" si="27"/>
        <v>3074.5</v>
      </c>
      <c r="AK164">
        <f t="shared" si="28"/>
        <v>1.0835097986370461</v>
      </c>
      <c r="AL164">
        <f t="shared" si="29"/>
        <v>3.9294145892521309E-2</v>
      </c>
      <c r="AM164">
        <f t="shared" si="30"/>
        <v>0.95698353690918747</v>
      </c>
      <c r="AN164">
        <f t="shared" si="31"/>
        <v>-2.1981004070556309E-2</v>
      </c>
      <c r="AO164">
        <f t="shared" si="32"/>
        <v>3.855974314315036E-2</v>
      </c>
      <c r="AP164">
        <f t="shared" si="33"/>
        <v>7.9250637571666893E-2</v>
      </c>
      <c r="AQ164">
        <f t="shared" si="34"/>
        <v>0.7974820005390213</v>
      </c>
      <c r="AR164">
        <f t="shared" si="35"/>
        <v>0.76317714549724713</v>
      </c>
    </row>
    <row r="165" spans="1:44" x14ac:dyDescent="0.25">
      <c r="A165">
        <v>163</v>
      </c>
      <c r="B165">
        <v>-33.506388999999999</v>
      </c>
      <c r="C165">
        <v>26.744721999999999</v>
      </c>
      <c r="D165" s="1">
        <v>42283</v>
      </c>
      <c r="H165">
        <v>170</v>
      </c>
      <c r="I165">
        <v>8369</v>
      </c>
      <c r="J165">
        <v>7802</v>
      </c>
      <c r="K165">
        <v>759</v>
      </c>
      <c r="L165">
        <v>9852.5</v>
      </c>
      <c r="M165">
        <v>29</v>
      </c>
      <c r="O165">
        <v>8367</v>
      </c>
      <c r="P165">
        <v>1511</v>
      </c>
      <c r="Q165">
        <v>7888</v>
      </c>
      <c r="R165">
        <v>1681</v>
      </c>
      <c r="S165">
        <v>8799</v>
      </c>
      <c r="T165">
        <v>16080</v>
      </c>
      <c r="V165">
        <v>11108</v>
      </c>
      <c r="W165">
        <v>8986.5</v>
      </c>
      <c r="Y165">
        <v>21824</v>
      </c>
      <c r="AB165">
        <v>0.31539122254488899</v>
      </c>
      <c r="AC165">
        <v>0.47307715904210701</v>
      </c>
      <c r="AD165">
        <v>-0.10159367144076201</v>
      </c>
      <c r="AE165">
        <v>-0.182874797704869</v>
      </c>
      <c r="AF165">
        <v>-861.58534999999995</v>
      </c>
      <c r="AG165">
        <f t="shared" si="24"/>
        <v>2.4778277634961441</v>
      </c>
      <c r="AH165">
        <f t="shared" si="25"/>
        <v>0.36585142393440101</v>
      </c>
      <c r="AI165">
        <f t="shared" si="26"/>
        <v>0.29265645725310502</v>
      </c>
      <c r="AJ165">
        <f t="shared" si="27"/>
        <v>7280</v>
      </c>
      <c r="AK165">
        <f t="shared" si="28"/>
        <v>0.69079601990049755</v>
      </c>
      <c r="AL165">
        <f t="shared" si="29"/>
        <v>0.28298725390461371</v>
      </c>
      <c r="AM165">
        <f t="shared" si="30"/>
        <v>1.0513800932010993</v>
      </c>
      <c r="AN165">
        <f t="shared" si="31"/>
        <v>2.5046598322460392E-2</v>
      </c>
      <c r="AO165">
        <f t="shared" si="32"/>
        <v>-0.26033479041885688</v>
      </c>
      <c r="AP165">
        <f t="shared" si="33"/>
        <v>0.10557615267859365</v>
      </c>
      <c r="AQ165">
        <f t="shared" si="34"/>
        <v>0.52046019900497509</v>
      </c>
      <c r="AR165">
        <f t="shared" si="35"/>
        <v>0.54720149253731343</v>
      </c>
    </row>
    <row r="166" spans="1:44" x14ac:dyDescent="0.25">
      <c r="A166">
        <v>164</v>
      </c>
      <c r="B166">
        <v>-33.731110999999999</v>
      </c>
      <c r="C166">
        <v>24.618333</v>
      </c>
      <c r="D166" s="1">
        <v>41360</v>
      </c>
      <c r="H166">
        <v>226</v>
      </c>
      <c r="I166">
        <v>8546</v>
      </c>
      <c r="J166">
        <v>8130</v>
      </c>
      <c r="K166">
        <v>954.5</v>
      </c>
      <c r="L166">
        <v>9708</v>
      </c>
      <c r="M166">
        <v>61</v>
      </c>
      <c r="N166">
        <v>44320.5</v>
      </c>
      <c r="O166">
        <v>8781</v>
      </c>
      <c r="P166">
        <v>1968.5</v>
      </c>
      <c r="Q166">
        <v>7426</v>
      </c>
      <c r="R166">
        <v>515.5</v>
      </c>
      <c r="S166">
        <v>8598.5</v>
      </c>
      <c r="T166">
        <v>12638</v>
      </c>
      <c r="U166">
        <v>44320.5</v>
      </c>
      <c r="V166">
        <v>10324.5</v>
      </c>
      <c r="W166">
        <v>8955</v>
      </c>
      <c r="Y166">
        <v>5440</v>
      </c>
      <c r="AA166">
        <v>9</v>
      </c>
      <c r="AB166">
        <v>0.19316465256797499</v>
      </c>
      <c r="AC166">
        <v>0.28974014019684202</v>
      </c>
      <c r="AD166">
        <v>-4.7870126266130103E-2</v>
      </c>
      <c r="AE166">
        <v>-0.10075122482308101</v>
      </c>
      <c r="AF166">
        <v>-1394.18569999999</v>
      </c>
      <c r="AG166">
        <f t="shared" si="24"/>
        <v>3.4795918367346941</v>
      </c>
      <c r="AH166">
        <f t="shared" si="25"/>
        <v>0.22406930461250291</v>
      </c>
      <c r="AI166">
        <f t="shared" si="26"/>
        <v>0.19021496009229394</v>
      </c>
      <c r="AJ166">
        <f t="shared" si="27"/>
        <v>4038.5</v>
      </c>
      <c r="AK166">
        <f t="shared" si="28"/>
        <v>0.81694097167273305</v>
      </c>
      <c r="AL166">
        <f t="shared" si="29"/>
        <v>0.17056453480294539</v>
      </c>
      <c r="AM166">
        <f t="shared" si="30"/>
        <v>1.0061432249005382</v>
      </c>
      <c r="AN166">
        <f t="shared" si="31"/>
        <v>3.0622065385400568E-3</v>
      </c>
      <c r="AO166">
        <f t="shared" si="32"/>
        <v>-0.17695331221399135</v>
      </c>
      <c r="AP166">
        <f t="shared" si="33"/>
        <v>7.1033999844394305E-2</v>
      </c>
      <c r="AQ166">
        <f t="shared" si="34"/>
        <v>0.67621459091628422</v>
      </c>
      <c r="AR166">
        <f t="shared" si="35"/>
        <v>0.68036872922930847</v>
      </c>
    </row>
    <row r="167" spans="1:44" x14ac:dyDescent="0.25">
      <c r="A167">
        <v>165</v>
      </c>
      <c r="B167">
        <v>-32.173889000000003</v>
      </c>
      <c r="C167">
        <v>27.372499999999999</v>
      </c>
      <c r="D167" s="1">
        <v>41368</v>
      </c>
      <c r="H167">
        <v>147</v>
      </c>
      <c r="I167">
        <v>8274</v>
      </c>
      <c r="J167">
        <v>7887</v>
      </c>
      <c r="K167">
        <v>480</v>
      </c>
      <c r="L167">
        <v>9728</v>
      </c>
      <c r="M167">
        <v>31</v>
      </c>
      <c r="N167">
        <v>41554.5</v>
      </c>
      <c r="O167">
        <v>7980.5</v>
      </c>
      <c r="P167">
        <v>911.5</v>
      </c>
      <c r="Q167">
        <v>8808</v>
      </c>
      <c r="R167">
        <v>4421</v>
      </c>
      <c r="S167">
        <v>8410.5</v>
      </c>
      <c r="T167">
        <v>12250</v>
      </c>
      <c r="U167">
        <v>41554.5</v>
      </c>
      <c r="V167">
        <v>10140</v>
      </c>
      <c r="W167">
        <v>8469.5</v>
      </c>
      <c r="X167">
        <v>1</v>
      </c>
      <c r="Y167">
        <v>5440</v>
      </c>
      <c r="AA167">
        <v>9</v>
      </c>
      <c r="AB167">
        <v>0.19372442019099501</v>
      </c>
      <c r="AC167">
        <v>0.29057955126799601</v>
      </c>
      <c r="AD167">
        <v>-4.4694041659100903E-2</v>
      </c>
      <c r="AE167">
        <v>-9.4238499330057998E-2</v>
      </c>
      <c r="AF167">
        <v>-1336.8364999999999</v>
      </c>
      <c r="AG167">
        <f t="shared" si="24"/>
        <v>3.6244302643573381</v>
      </c>
      <c r="AH167">
        <f t="shared" si="25"/>
        <v>0.22471857557142411</v>
      </c>
      <c r="AI167">
        <f t="shared" si="26"/>
        <v>0.18583770963916652</v>
      </c>
      <c r="AJ167">
        <f t="shared" si="27"/>
        <v>3838.5</v>
      </c>
      <c r="AK167">
        <f t="shared" si="28"/>
        <v>0.82775510204081637</v>
      </c>
      <c r="AL167">
        <f t="shared" si="29"/>
        <v>0.18246096672216994</v>
      </c>
      <c r="AM167">
        <f t="shared" si="30"/>
        <v>1.016497461928934</v>
      </c>
      <c r="AN167">
        <f t="shared" si="31"/>
        <v>8.1812460667086209E-3</v>
      </c>
      <c r="AO167">
        <f t="shared" si="32"/>
        <v>-0.15601518510025725</v>
      </c>
      <c r="AP167">
        <f t="shared" si="33"/>
        <v>8.9765979741529861E-2</v>
      </c>
      <c r="AQ167">
        <f t="shared" si="34"/>
        <v>0.67542857142857138</v>
      </c>
      <c r="AR167">
        <f t="shared" si="35"/>
        <v>0.68657142857142861</v>
      </c>
    </row>
    <row r="168" spans="1:44" x14ac:dyDescent="0.25">
      <c r="A168">
        <v>166</v>
      </c>
      <c r="B168">
        <v>-33.771110999999998</v>
      </c>
      <c r="C168">
        <v>25.386666999999999</v>
      </c>
      <c r="D168" s="1">
        <v>41614</v>
      </c>
      <c r="H168">
        <v>-9999</v>
      </c>
      <c r="K168">
        <v>-9999</v>
      </c>
      <c r="L168">
        <v>-9999</v>
      </c>
      <c r="M168">
        <v>-9999</v>
      </c>
      <c r="O168">
        <v>-9999</v>
      </c>
      <c r="P168">
        <v>-9999</v>
      </c>
      <c r="Q168">
        <v>-9999</v>
      </c>
      <c r="R168">
        <v>-9999</v>
      </c>
      <c r="Y168">
        <v>1</v>
      </c>
      <c r="AA168">
        <v>-9999</v>
      </c>
    </row>
    <row r="169" spans="1:44" x14ac:dyDescent="0.25">
      <c r="A169">
        <v>167</v>
      </c>
      <c r="B169">
        <v>-33.001666999999998</v>
      </c>
      <c r="C169">
        <v>25.161389</v>
      </c>
      <c r="D169" s="1">
        <v>42208</v>
      </c>
      <c r="H169">
        <v>220</v>
      </c>
      <c r="I169">
        <v>8997</v>
      </c>
      <c r="J169">
        <v>8273</v>
      </c>
      <c r="K169">
        <v>398</v>
      </c>
      <c r="L169">
        <v>9715</v>
      </c>
      <c r="M169">
        <v>52</v>
      </c>
      <c r="N169">
        <v>39825</v>
      </c>
      <c r="O169">
        <v>7125.5</v>
      </c>
      <c r="P169">
        <v>733</v>
      </c>
      <c r="Q169">
        <v>8772.5</v>
      </c>
      <c r="R169">
        <v>379.5</v>
      </c>
      <c r="S169">
        <v>8774.5</v>
      </c>
      <c r="T169">
        <v>9931</v>
      </c>
      <c r="U169">
        <v>39825</v>
      </c>
      <c r="V169">
        <v>10868.5</v>
      </c>
      <c r="W169">
        <v>9855.5</v>
      </c>
      <c r="Y169">
        <v>5440</v>
      </c>
      <c r="AA169">
        <v>9</v>
      </c>
      <c r="AB169">
        <v>4.93448858833474E-2</v>
      </c>
      <c r="AC169">
        <v>7.4015373642919394E-2</v>
      </c>
      <c r="AD169">
        <v>4.3643861884185502E-2</v>
      </c>
      <c r="AE169">
        <v>4.5073198874972902E-2</v>
      </c>
      <c r="AF169">
        <v>-2909.7679499999999</v>
      </c>
      <c r="AG169">
        <f t="shared" si="24"/>
        <v>1.2510045539780337</v>
      </c>
      <c r="AH169">
        <f t="shared" si="25"/>
        <v>5.723958377359447E-2</v>
      </c>
      <c r="AI169">
        <f t="shared" si="26"/>
        <v>6.1826735452139743E-2</v>
      </c>
      <c r="AJ169">
        <f t="shared" si="27"/>
        <v>1155.5</v>
      </c>
      <c r="AK169">
        <f t="shared" si="28"/>
        <v>1.0944013694491994</v>
      </c>
      <c r="AL169">
        <f t="shared" si="29"/>
        <v>3.8157329492330629E-3</v>
      </c>
      <c r="AM169">
        <f t="shared" si="30"/>
        <v>0.97526953428920748</v>
      </c>
      <c r="AN169">
        <f t="shared" si="31"/>
        <v>-1.2520046141293645E-2</v>
      </c>
      <c r="AO169">
        <f t="shared" si="32"/>
        <v>6.9043799217277435E-2</v>
      </c>
      <c r="AP169">
        <f t="shared" si="33"/>
        <v>4.8880524995174673E-2</v>
      </c>
      <c r="AQ169">
        <f t="shared" si="34"/>
        <v>0.90595106233007749</v>
      </c>
      <c r="AR169">
        <f t="shared" si="35"/>
        <v>0.8835464706474675</v>
      </c>
    </row>
    <row r="170" spans="1:44" x14ac:dyDescent="0.25">
      <c r="A170">
        <v>168</v>
      </c>
      <c r="B170">
        <v>-32.579166999999998</v>
      </c>
      <c r="C170">
        <v>27.366667</v>
      </c>
      <c r="D170" s="1">
        <v>40581</v>
      </c>
      <c r="H170">
        <v>279</v>
      </c>
      <c r="I170">
        <v>8162.5</v>
      </c>
      <c r="J170">
        <v>7897.5</v>
      </c>
      <c r="K170">
        <v>1366</v>
      </c>
      <c r="L170">
        <v>9651</v>
      </c>
      <c r="M170">
        <v>138</v>
      </c>
      <c r="N170">
        <v>45731</v>
      </c>
      <c r="O170">
        <v>9004</v>
      </c>
      <c r="P170">
        <v>2999</v>
      </c>
      <c r="Q170">
        <v>6097.5</v>
      </c>
      <c r="R170">
        <v>455</v>
      </c>
      <c r="S170">
        <v>8414.5</v>
      </c>
      <c r="T170">
        <v>15484</v>
      </c>
      <c r="U170">
        <v>45731</v>
      </c>
      <c r="V170">
        <v>11543.5</v>
      </c>
      <c r="W170">
        <v>9059</v>
      </c>
      <c r="Y170">
        <v>5440</v>
      </c>
      <c r="AA170">
        <v>26</v>
      </c>
      <c r="AB170">
        <v>0.309622988602964</v>
      </c>
      <c r="AC170">
        <v>0.46442466274791699</v>
      </c>
      <c r="AD170">
        <v>-8.5303162170002902E-2</v>
      </c>
      <c r="AE170">
        <v>-0.1457959485709</v>
      </c>
      <c r="AF170">
        <v>-1536.8663999999901</v>
      </c>
      <c r="AG170">
        <f t="shared" si="24"/>
        <v>3.5005976571838393</v>
      </c>
      <c r="AH170">
        <f t="shared" si="25"/>
        <v>0.35916023658309454</v>
      </c>
      <c r="AI170">
        <f t="shared" si="26"/>
        <v>0.29581354478314537</v>
      </c>
      <c r="AJ170">
        <f t="shared" si="27"/>
        <v>7068.5</v>
      </c>
      <c r="AK170">
        <f t="shared" si="28"/>
        <v>0.7455114957375355</v>
      </c>
      <c r="AL170">
        <f t="shared" si="29"/>
        <v>0.26178543780303959</v>
      </c>
      <c r="AM170">
        <f t="shared" si="30"/>
        <v>1.0308728943338439</v>
      </c>
      <c r="AN170">
        <f t="shared" si="31"/>
        <v>1.5201785606563311E-2</v>
      </c>
      <c r="AO170">
        <f t="shared" si="32"/>
        <v>-0.22454020073878511</v>
      </c>
      <c r="AP170">
        <f t="shared" si="33"/>
        <v>0.12059216114549205</v>
      </c>
      <c r="AQ170">
        <f t="shared" si="34"/>
        <v>0.52715706535778872</v>
      </c>
      <c r="AR170">
        <f t="shared" si="35"/>
        <v>0.54343192973391885</v>
      </c>
    </row>
    <row r="171" spans="1:44" x14ac:dyDescent="0.25">
      <c r="A171">
        <v>169</v>
      </c>
      <c r="B171">
        <v>-33.185361110000002</v>
      </c>
      <c r="C171">
        <v>27.390750000000001</v>
      </c>
      <c r="D171" s="1">
        <v>41830</v>
      </c>
      <c r="H171">
        <v>294</v>
      </c>
      <c r="I171">
        <v>8688</v>
      </c>
      <c r="J171">
        <v>8104.5</v>
      </c>
      <c r="K171">
        <v>638</v>
      </c>
      <c r="L171">
        <v>9718</v>
      </c>
      <c r="M171">
        <v>80</v>
      </c>
      <c r="O171">
        <v>8114.5</v>
      </c>
      <c r="P171">
        <v>1246</v>
      </c>
      <c r="Q171">
        <v>8375</v>
      </c>
      <c r="R171">
        <v>166</v>
      </c>
      <c r="S171">
        <v>9058.5</v>
      </c>
      <c r="T171">
        <v>16796</v>
      </c>
      <c r="V171">
        <v>11893</v>
      </c>
      <c r="W171">
        <v>9330</v>
      </c>
      <c r="Y171">
        <v>21824</v>
      </c>
      <c r="AB171">
        <v>0.31816041437764803</v>
      </c>
      <c r="AC171">
        <v>0.477231258215778</v>
      </c>
      <c r="AD171">
        <v>-9.4972681200048301E-2</v>
      </c>
      <c r="AE171">
        <v>-0.170901739342605</v>
      </c>
      <c r="AF171">
        <v>-1131.2954999999999</v>
      </c>
      <c r="AG171">
        <f t="shared" si="24"/>
        <v>2.4897896514662983</v>
      </c>
      <c r="AH171">
        <f t="shared" si="25"/>
        <v>0.36906376352997311</v>
      </c>
      <c r="AI171">
        <f t="shared" si="26"/>
        <v>0.2992709199559071</v>
      </c>
      <c r="AJ171">
        <f t="shared" si="27"/>
        <v>7736.5</v>
      </c>
      <c r="AK171">
        <f t="shared" si="28"/>
        <v>0.70808525839485592</v>
      </c>
      <c r="AL171">
        <f t="shared" si="29"/>
        <v>0.28576896578121413</v>
      </c>
      <c r="AM171">
        <f t="shared" si="30"/>
        <v>1.0426450276243093</v>
      </c>
      <c r="AN171">
        <f t="shared" si="31"/>
        <v>2.0877356098385598E-2</v>
      </c>
      <c r="AO171">
        <f t="shared" si="32"/>
        <v>-0.25101393021252938</v>
      </c>
      <c r="AP171">
        <f t="shared" si="33"/>
        <v>0.12076520755783819</v>
      </c>
      <c r="AQ171">
        <f t="shared" si="34"/>
        <v>0.5172660157180281</v>
      </c>
      <c r="AR171">
        <f t="shared" si="35"/>
        <v>0.5393248392474399</v>
      </c>
    </row>
    <row r="172" spans="1:44" x14ac:dyDescent="0.25">
      <c r="A172">
        <v>170</v>
      </c>
      <c r="B172">
        <v>-32.802778000000004</v>
      </c>
      <c r="C172">
        <v>27.856389</v>
      </c>
      <c r="D172" s="1">
        <v>41886</v>
      </c>
      <c r="H172">
        <v>223</v>
      </c>
      <c r="I172">
        <v>8850.5</v>
      </c>
      <c r="J172">
        <v>8432</v>
      </c>
      <c r="K172">
        <v>852</v>
      </c>
      <c r="L172">
        <v>9828</v>
      </c>
      <c r="M172">
        <v>149</v>
      </c>
      <c r="O172">
        <v>8965</v>
      </c>
      <c r="P172">
        <v>1753</v>
      </c>
      <c r="Q172">
        <v>7711.5</v>
      </c>
      <c r="R172">
        <v>905</v>
      </c>
      <c r="S172">
        <v>9084.5</v>
      </c>
      <c r="T172">
        <v>14831</v>
      </c>
      <c r="V172">
        <v>13506.5</v>
      </c>
      <c r="W172">
        <v>10759.5</v>
      </c>
      <c r="Y172">
        <v>21824</v>
      </c>
      <c r="AB172">
        <v>0.25253890167430199</v>
      </c>
      <c r="AC172">
        <v>0.37880035469977102</v>
      </c>
      <c r="AD172">
        <v>-1.9859710653222201E-2</v>
      </c>
      <c r="AE172">
        <v>-4.67401852668725E-2</v>
      </c>
      <c r="AF172">
        <v>-3492.84419999999</v>
      </c>
      <c r="AG172">
        <f t="shared" si="24"/>
        <v>3.1845047923322682</v>
      </c>
      <c r="AH172">
        <f t="shared" si="25"/>
        <v>0.29294314672197808</v>
      </c>
      <c r="AI172">
        <f t="shared" si="26"/>
        <v>0.24028349814973551</v>
      </c>
      <c r="AJ172">
        <f t="shared" si="27"/>
        <v>5745.5</v>
      </c>
      <c r="AK172">
        <f t="shared" si="28"/>
        <v>0.91069381700492213</v>
      </c>
      <c r="AL172">
        <f t="shared" si="29"/>
        <v>0.15910201051171333</v>
      </c>
      <c r="AM172">
        <f t="shared" si="30"/>
        <v>1.0264391842268799</v>
      </c>
      <c r="AN172">
        <f t="shared" si="31"/>
        <v>1.3047114580429328E-2</v>
      </c>
      <c r="AO172">
        <f t="shared" si="32"/>
        <v>-6.3548023492628669E-2</v>
      </c>
      <c r="AP172">
        <f t="shared" si="33"/>
        <v>0.11320365944119344</v>
      </c>
      <c r="AQ172">
        <f t="shared" si="34"/>
        <v>0.59675679320342523</v>
      </c>
      <c r="AR172">
        <f t="shared" si="35"/>
        <v>0.61253455599757267</v>
      </c>
    </row>
    <row r="173" spans="1:44" x14ac:dyDescent="0.25">
      <c r="A173">
        <v>171</v>
      </c>
      <c r="B173">
        <v>-32.713889000000002</v>
      </c>
      <c r="C173">
        <v>26.296666999999999</v>
      </c>
      <c r="D173" s="1">
        <v>41305</v>
      </c>
      <c r="H173">
        <v>299.5</v>
      </c>
      <c r="I173">
        <v>9299.5</v>
      </c>
      <c r="J173">
        <v>8562</v>
      </c>
      <c r="K173">
        <v>618.5</v>
      </c>
      <c r="L173">
        <v>9727</v>
      </c>
      <c r="M173">
        <v>51</v>
      </c>
      <c r="N173">
        <v>44757.5</v>
      </c>
      <c r="O173">
        <v>9059.5</v>
      </c>
      <c r="P173">
        <v>1198.5</v>
      </c>
      <c r="Q173">
        <v>8391.5</v>
      </c>
      <c r="R173">
        <v>156</v>
      </c>
      <c r="S173">
        <v>9526</v>
      </c>
      <c r="T173">
        <v>17110.5</v>
      </c>
      <c r="U173">
        <v>44757.5</v>
      </c>
      <c r="V173">
        <v>13607</v>
      </c>
      <c r="W173">
        <v>10687.5</v>
      </c>
      <c r="Y173">
        <v>5440</v>
      </c>
      <c r="AA173">
        <v>12</v>
      </c>
      <c r="AB173">
        <v>0.29575918212798102</v>
      </c>
      <c r="AC173">
        <v>0.44363037428295499</v>
      </c>
      <c r="AD173">
        <v>-5.6938183165565301E-2</v>
      </c>
      <c r="AE173">
        <v>-0.11405550581915801</v>
      </c>
      <c r="AF173">
        <v>-2500.7619500000001</v>
      </c>
      <c r="AG173">
        <f t="shared" si="24"/>
        <v>2.2462184390636684</v>
      </c>
      <c r="AH173">
        <f t="shared" si="25"/>
        <v>0.34307857279168319</v>
      </c>
      <c r="AI173">
        <f t="shared" si="26"/>
        <v>0.28474086310138341</v>
      </c>
      <c r="AJ173">
        <f t="shared" si="27"/>
        <v>7583.5</v>
      </c>
      <c r="AK173">
        <f t="shared" si="28"/>
        <v>0.79524268723882996</v>
      </c>
      <c r="AL173">
        <f t="shared" si="29"/>
        <v>0.23105978847399095</v>
      </c>
      <c r="AM173">
        <f t="shared" si="30"/>
        <v>1.0243561481800096</v>
      </c>
      <c r="AN173">
        <f t="shared" si="31"/>
        <v>1.2031552946800882E-2</v>
      </c>
      <c r="AO173">
        <f t="shared" si="32"/>
        <v>-0.18098028147836509</v>
      </c>
      <c r="AP173">
        <f t="shared" si="33"/>
        <v>0.12017123217189075</v>
      </c>
      <c r="AQ173">
        <f t="shared" si="34"/>
        <v>0.54349668332310574</v>
      </c>
      <c r="AR173">
        <f t="shared" si="35"/>
        <v>0.55673416907746709</v>
      </c>
    </row>
    <row r="174" spans="1:44" x14ac:dyDescent="0.25">
      <c r="A174">
        <v>172</v>
      </c>
      <c r="B174">
        <v>-32.802778000000004</v>
      </c>
      <c r="C174">
        <v>27.856389</v>
      </c>
      <c r="D174" s="1">
        <v>42128</v>
      </c>
      <c r="H174">
        <v>275.5</v>
      </c>
      <c r="I174">
        <v>8333</v>
      </c>
      <c r="J174">
        <v>7995.5</v>
      </c>
      <c r="K174">
        <v>1451</v>
      </c>
      <c r="L174">
        <v>9842.5</v>
      </c>
      <c r="M174">
        <v>149</v>
      </c>
      <c r="N174">
        <v>43503</v>
      </c>
      <c r="O174">
        <v>8483</v>
      </c>
      <c r="P174">
        <v>3236</v>
      </c>
      <c r="Q174">
        <v>5859</v>
      </c>
      <c r="R174">
        <v>1129.5</v>
      </c>
      <c r="S174">
        <v>8566.5</v>
      </c>
      <c r="T174">
        <v>15311</v>
      </c>
      <c r="U174">
        <v>43503</v>
      </c>
      <c r="V174">
        <v>12265</v>
      </c>
      <c r="W174">
        <v>9699.5</v>
      </c>
      <c r="Y174">
        <v>5440</v>
      </c>
      <c r="AA174">
        <v>54.5</v>
      </c>
      <c r="AB174">
        <v>0.29512772796481102</v>
      </c>
      <c r="AC174">
        <v>0.44268223053987099</v>
      </c>
      <c r="AD174">
        <v>-6.16907150747645E-2</v>
      </c>
      <c r="AE174">
        <v>-0.11045836959675</v>
      </c>
      <c r="AF174">
        <v>-2300.5304500000002</v>
      </c>
      <c r="AG174">
        <f t="shared" si="24"/>
        <v>3.2645614035087718</v>
      </c>
      <c r="AH174">
        <f t="shared" si="25"/>
        <v>0.3423458477695972</v>
      </c>
      <c r="AI174">
        <f t="shared" si="26"/>
        <v>0.28246256936446446</v>
      </c>
      <c r="AJ174">
        <f t="shared" si="27"/>
        <v>6743.5</v>
      </c>
      <c r="AK174">
        <f t="shared" si="28"/>
        <v>0.80105806283064462</v>
      </c>
      <c r="AL174">
        <f t="shared" si="29"/>
        <v>0.2243657663781212</v>
      </c>
      <c r="AM174">
        <f t="shared" si="30"/>
        <v>1.0280211208448338</v>
      </c>
      <c r="AN174">
        <f t="shared" si="31"/>
        <v>1.381697683363413E-2</v>
      </c>
      <c r="AO174">
        <f t="shared" si="32"/>
        <v>-0.17168459753239751</v>
      </c>
      <c r="AP174">
        <f t="shared" si="33"/>
        <v>0.11680211249971545</v>
      </c>
      <c r="AQ174">
        <f t="shared" si="34"/>
        <v>0.54424923257788516</v>
      </c>
      <c r="AR174">
        <f t="shared" si="35"/>
        <v>0.55949970609365818</v>
      </c>
    </row>
    <row r="175" spans="1:44" x14ac:dyDescent="0.25">
      <c r="A175">
        <v>173</v>
      </c>
      <c r="B175">
        <v>-32.991638889999997</v>
      </c>
      <c r="C175">
        <v>27.64002778</v>
      </c>
      <c r="D175" s="1">
        <v>41886</v>
      </c>
      <c r="H175">
        <v>142</v>
      </c>
      <c r="I175">
        <v>9782.5</v>
      </c>
      <c r="J175">
        <v>8515.5</v>
      </c>
      <c r="K175">
        <v>611</v>
      </c>
      <c r="L175">
        <v>9817</v>
      </c>
      <c r="M175">
        <v>47</v>
      </c>
      <c r="O175">
        <v>8459.5</v>
      </c>
      <c r="P175">
        <v>1187</v>
      </c>
      <c r="Q175">
        <v>8260</v>
      </c>
      <c r="R175">
        <v>2572.5</v>
      </c>
      <c r="S175">
        <v>9557.5</v>
      </c>
      <c r="T175">
        <v>14549.5</v>
      </c>
      <c r="V175">
        <v>13574</v>
      </c>
      <c r="W175">
        <v>11127.5</v>
      </c>
      <c r="Y175">
        <v>21824</v>
      </c>
      <c r="AB175">
        <v>0.19591484464902101</v>
      </c>
      <c r="AC175">
        <v>0.29386622829548897</v>
      </c>
      <c r="AD175">
        <v>6.2794179421172998E-3</v>
      </c>
      <c r="AE175">
        <v>-3.46862943801447E-2</v>
      </c>
      <c r="AF175">
        <v>-3392.6468499999901</v>
      </c>
      <c r="AG175">
        <f t="shared" si="24"/>
        <v>1.2706239837940134</v>
      </c>
      <c r="AH175">
        <f t="shared" si="25"/>
        <v>0.22725972540045764</v>
      </c>
      <c r="AI175">
        <f t="shared" si="26"/>
        <v>0.20707678267723068</v>
      </c>
      <c r="AJ175">
        <f t="shared" si="27"/>
        <v>4991</v>
      </c>
      <c r="AK175">
        <f t="shared" si="28"/>
        <v>0.93295302244063372</v>
      </c>
      <c r="AL175">
        <f t="shared" si="29"/>
        <v>0.1332710207578767</v>
      </c>
      <c r="AM175">
        <f t="shared" si="30"/>
        <v>0.97699974444160487</v>
      </c>
      <c r="AN175">
        <f t="shared" si="31"/>
        <v>-1.1633919338159255E-2</v>
      </c>
      <c r="AO175">
        <f t="shared" si="32"/>
        <v>-9.058869872075781E-2</v>
      </c>
      <c r="AP175">
        <f t="shared" si="33"/>
        <v>9.9042568265085118E-2</v>
      </c>
      <c r="AQ175">
        <f t="shared" si="34"/>
        <v>0.67235987490979077</v>
      </c>
      <c r="AR175">
        <f t="shared" si="35"/>
        <v>0.656895425959655</v>
      </c>
    </row>
    <row r="176" spans="1:44" x14ac:dyDescent="0.25">
      <c r="A176">
        <v>174</v>
      </c>
      <c r="B176">
        <v>-31.905000000000001</v>
      </c>
      <c r="C176">
        <v>25.43</v>
      </c>
      <c r="D176" s="1">
        <v>41337</v>
      </c>
      <c r="H176">
        <v>162.5</v>
      </c>
      <c r="I176">
        <v>10982</v>
      </c>
      <c r="J176">
        <v>9492</v>
      </c>
      <c r="K176">
        <v>697</v>
      </c>
      <c r="L176">
        <v>9645.5</v>
      </c>
      <c r="M176">
        <v>82</v>
      </c>
      <c r="N176">
        <v>45707.5</v>
      </c>
      <c r="O176">
        <v>9302</v>
      </c>
      <c r="P176">
        <v>1369</v>
      </c>
      <c r="Q176">
        <v>8124</v>
      </c>
      <c r="R176">
        <v>3429.5</v>
      </c>
      <c r="S176">
        <v>10651.5</v>
      </c>
      <c r="T176">
        <v>14444.5</v>
      </c>
      <c r="U176">
        <v>45707.5</v>
      </c>
      <c r="V176">
        <v>13762.5</v>
      </c>
      <c r="W176">
        <v>11796</v>
      </c>
      <c r="Y176">
        <v>5440</v>
      </c>
      <c r="AA176">
        <v>8</v>
      </c>
      <c r="AB176">
        <v>0.13617682339291601</v>
      </c>
      <c r="AC176">
        <v>0.2042612183899</v>
      </c>
      <c r="AD176">
        <v>1.6597851317762501E-2</v>
      </c>
      <c r="AE176">
        <v>-2.41783954337575E-2</v>
      </c>
      <c r="AF176">
        <v>-3110.1537499999999</v>
      </c>
      <c r="AG176">
        <f t="shared" si="24"/>
        <v>0.94629680240502867</v>
      </c>
      <c r="AH176">
        <f t="shared" si="25"/>
        <v>0.15796412112326194</v>
      </c>
      <c r="AI176">
        <f t="shared" si="26"/>
        <v>0.15113962384443735</v>
      </c>
      <c r="AJ176">
        <f t="shared" si="27"/>
        <v>3792</v>
      </c>
      <c r="AK176">
        <f t="shared" si="28"/>
        <v>0.95278479698155005</v>
      </c>
      <c r="AL176">
        <f t="shared" si="29"/>
        <v>0.10093176578190202</v>
      </c>
      <c r="AM176">
        <f t="shared" si="30"/>
        <v>0.96990529958113281</v>
      </c>
      <c r="AN176">
        <f t="shared" si="31"/>
        <v>-1.5277232070631197E-2</v>
      </c>
      <c r="AO176">
        <f t="shared" si="32"/>
        <v>-7.8243696657843365E-2</v>
      </c>
      <c r="AP176">
        <f t="shared" si="33"/>
        <v>7.6941135043136336E-2</v>
      </c>
      <c r="AQ176">
        <f t="shared" si="34"/>
        <v>0.76028938350237119</v>
      </c>
      <c r="AR176">
        <f t="shared" si="35"/>
        <v>0.73740870227422206</v>
      </c>
    </row>
    <row r="177" spans="1:44" x14ac:dyDescent="0.25">
      <c r="A177">
        <v>175</v>
      </c>
      <c r="B177">
        <v>-33.001666999999998</v>
      </c>
      <c r="C177">
        <v>25.161389</v>
      </c>
      <c r="D177" s="1">
        <v>41648</v>
      </c>
      <c r="H177">
        <v>176</v>
      </c>
      <c r="I177">
        <v>11698.5</v>
      </c>
      <c r="J177">
        <v>9465</v>
      </c>
      <c r="K177">
        <v>1048</v>
      </c>
      <c r="L177">
        <v>9715</v>
      </c>
      <c r="M177">
        <v>52</v>
      </c>
      <c r="N177">
        <v>48756.5</v>
      </c>
      <c r="O177">
        <v>10455</v>
      </c>
      <c r="P177">
        <v>2162</v>
      </c>
      <c r="Q177">
        <v>7310</v>
      </c>
      <c r="R177">
        <v>3826</v>
      </c>
      <c r="S177">
        <v>10804</v>
      </c>
      <c r="T177">
        <v>14188.5</v>
      </c>
      <c r="U177">
        <v>48756.5</v>
      </c>
      <c r="V177">
        <v>16741.5</v>
      </c>
      <c r="W177">
        <v>14415</v>
      </c>
      <c r="Y177">
        <v>5440</v>
      </c>
      <c r="AA177">
        <v>8</v>
      </c>
      <c r="AB177">
        <v>9.6187275466450298E-2</v>
      </c>
      <c r="AC177">
        <v>0.14427812650893199</v>
      </c>
      <c r="AD177">
        <v>9.1882864464856398E-2</v>
      </c>
      <c r="AE177">
        <v>8.2541222114451904E-2</v>
      </c>
      <c r="AF177">
        <v>-6250.29385</v>
      </c>
      <c r="AG177">
        <f t="shared" si="24"/>
        <v>0.4647950421862167</v>
      </c>
      <c r="AH177">
        <f t="shared" si="25"/>
        <v>0.11157654991895595</v>
      </c>
      <c r="AI177">
        <f t="shared" si="26"/>
        <v>0.13542062618785636</v>
      </c>
      <c r="AJ177">
        <f t="shared" si="27"/>
        <v>3383.5</v>
      </c>
      <c r="AK177">
        <f t="shared" si="28"/>
        <v>1.1799344539591923</v>
      </c>
      <c r="AL177">
        <f t="shared" si="29"/>
        <v>-7.9186113587498032E-3</v>
      </c>
      <c r="AM177">
        <f t="shared" si="30"/>
        <v>0.92353720562465269</v>
      </c>
      <c r="AN177">
        <f t="shared" si="31"/>
        <v>-3.9751138762359736E-2</v>
      </c>
      <c r="AO177">
        <f t="shared" si="32"/>
        <v>9.7141044110987895E-2</v>
      </c>
      <c r="AP177">
        <f t="shared" si="33"/>
        <v>7.4671416879302871E-2</v>
      </c>
      <c r="AQ177">
        <f t="shared" si="34"/>
        <v>0.82450576170842582</v>
      </c>
      <c r="AR177">
        <f t="shared" si="35"/>
        <v>0.76146174718962545</v>
      </c>
    </row>
    <row r="178" spans="1:44" x14ac:dyDescent="0.25">
      <c r="A178">
        <v>176</v>
      </c>
      <c r="B178">
        <v>-32.991638889999997</v>
      </c>
      <c r="C178">
        <v>27.64002778</v>
      </c>
      <c r="D178" s="1">
        <v>42354</v>
      </c>
      <c r="H178">
        <v>323</v>
      </c>
      <c r="I178">
        <v>9140.5</v>
      </c>
      <c r="J178">
        <v>8056.5</v>
      </c>
      <c r="K178">
        <v>885</v>
      </c>
      <c r="L178">
        <v>9843</v>
      </c>
      <c r="M178">
        <v>47</v>
      </c>
      <c r="O178">
        <v>9435.5</v>
      </c>
      <c r="P178">
        <v>1819.5</v>
      </c>
      <c r="Q178">
        <v>7686</v>
      </c>
      <c r="R178">
        <v>101.5</v>
      </c>
      <c r="S178">
        <v>9354.5</v>
      </c>
      <c r="T178">
        <v>17012</v>
      </c>
      <c r="V178">
        <v>13105.5</v>
      </c>
      <c r="W178">
        <v>10271.5</v>
      </c>
      <c r="Y178">
        <v>21824</v>
      </c>
      <c r="AB178">
        <v>0.30098460950195899</v>
      </c>
      <c r="AC178">
        <v>0.45146828279738399</v>
      </c>
      <c r="AD178">
        <v>-5.9654017267433801E-2</v>
      </c>
      <c r="AE178">
        <v>-0.12970864115547401</v>
      </c>
      <c r="AF178">
        <v>-2150.1666499999901</v>
      </c>
      <c r="AG178">
        <f t="shared" si="24"/>
        <v>1.7213365697915983</v>
      </c>
      <c r="AH178">
        <f t="shared" si="25"/>
        <v>0.34914001099696929</v>
      </c>
      <c r="AI178">
        <f t="shared" si="26"/>
        <v>0.29042535034987577</v>
      </c>
      <c r="AJ178">
        <f t="shared" si="27"/>
        <v>7656.5</v>
      </c>
      <c r="AK178">
        <f t="shared" si="28"/>
        <v>0.77036797554667291</v>
      </c>
      <c r="AL178">
        <f t="shared" si="29"/>
        <v>0.24705408030494622</v>
      </c>
      <c r="AM178">
        <f t="shared" si="30"/>
        <v>1.0234122859799792</v>
      </c>
      <c r="AN178">
        <f t="shared" si="31"/>
        <v>1.1570694782373615E-2</v>
      </c>
      <c r="AO178">
        <f t="shared" si="32"/>
        <v>-0.20675533409040014</v>
      </c>
      <c r="AP178">
        <f t="shared" si="33"/>
        <v>0.12123026906788724</v>
      </c>
      <c r="AQ178">
        <f t="shared" si="34"/>
        <v>0.53729720197507647</v>
      </c>
      <c r="AR178">
        <f t="shared" si="35"/>
        <v>0.5498765577239596</v>
      </c>
    </row>
    <row r="179" spans="1:44" x14ac:dyDescent="0.25">
      <c r="A179">
        <v>177</v>
      </c>
      <c r="B179">
        <v>-33.329166999999998</v>
      </c>
      <c r="C179">
        <v>26.077500000000001</v>
      </c>
      <c r="D179" s="1">
        <v>40669</v>
      </c>
      <c r="H179">
        <v>213</v>
      </c>
      <c r="I179">
        <v>9105.5</v>
      </c>
      <c r="J179">
        <v>8165</v>
      </c>
      <c r="K179">
        <v>398</v>
      </c>
      <c r="L179">
        <v>9784</v>
      </c>
      <c r="M179">
        <v>59</v>
      </c>
      <c r="N179">
        <v>41165</v>
      </c>
      <c r="O179">
        <v>7776</v>
      </c>
      <c r="P179">
        <v>737.5</v>
      </c>
      <c r="Q179">
        <v>8890.5</v>
      </c>
      <c r="R179">
        <v>982</v>
      </c>
      <c r="S179">
        <v>8937</v>
      </c>
      <c r="T179">
        <v>12739</v>
      </c>
      <c r="U179">
        <v>41165</v>
      </c>
      <c r="V179">
        <v>11027</v>
      </c>
      <c r="W179">
        <v>9319</v>
      </c>
      <c r="Y179">
        <v>5440</v>
      </c>
      <c r="AA179">
        <v>9</v>
      </c>
      <c r="AB179">
        <v>0.166334775343908</v>
      </c>
      <c r="AC179">
        <v>0.24949645227740899</v>
      </c>
      <c r="AD179">
        <v>-1.8800336285989299E-2</v>
      </c>
      <c r="AE179">
        <v>-7.2035681225279799E-2</v>
      </c>
      <c r="AF179">
        <v>-1769.93345</v>
      </c>
      <c r="AG179">
        <f t="shared" si="24"/>
        <v>1.4805231847445195</v>
      </c>
      <c r="AH179">
        <f t="shared" si="25"/>
        <v>0.19294692615952821</v>
      </c>
      <c r="AI179">
        <f t="shared" si="26"/>
        <v>0.17540136556560251</v>
      </c>
      <c r="AJ179">
        <f t="shared" si="27"/>
        <v>3801</v>
      </c>
      <c r="AK179">
        <f t="shared" si="28"/>
        <v>0.86560954549022684</v>
      </c>
      <c r="AL179">
        <f t="shared" si="29"/>
        <v>0.15504578837609936</v>
      </c>
      <c r="AM179">
        <f t="shared" si="30"/>
        <v>0.98149470100488712</v>
      </c>
      <c r="AN179">
        <f t="shared" si="31"/>
        <v>-9.3390605514756826E-3</v>
      </c>
      <c r="AO179">
        <f t="shared" si="32"/>
        <v>-0.15324465614343108</v>
      </c>
      <c r="AP179">
        <f t="shared" si="33"/>
        <v>8.3947704708542223E-2</v>
      </c>
      <c r="AQ179">
        <f t="shared" si="34"/>
        <v>0.71477353010440381</v>
      </c>
      <c r="AR179">
        <f t="shared" si="35"/>
        <v>0.70154643221602953</v>
      </c>
    </row>
    <row r="180" spans="1:44" x14ac:dyDescent="0.25">
      <c r="A180">
        <v>178</v>
      </c>
      <c r="B180">
        <v>-33.771110999999998</v>
      </c>
      <c r="C180">
        <v>25.386666999999999</v>
      </c>
      <c r="D180" s="1">
        <v>42151</v>
      </c>
      <c r="H180">
        <v>362.5</v>
      </c>
      <c r="I180">
        <v>9064.5</v>
      </c>
      <c r="J180">
        <v>8234</v>
      </c>
      <c r="K180">
        <v>702</v>
      </c>
      <c r="L180">
        <v>9814</v>
      </c>
      <c r="M180">
        <v>96</v>
      </c>
      <c r="O180">
        <v>7817</v>
      </c>
      <c r="P180">
        <v>1416</v>
      </c>
      <c r="Q180">
        <v>7964</v>
      </c>
      <c r="R180">
        <v>64.5</v>
      </c>
      <c r="S180">
        <v>9049</v>
      </c>
      <c r="T180">
        <v>15480.5</v>
      </c>
      <c r="V180">
        <v>12915.5</v>
      </c>
      <c r="W180">
        <v>10322</v>
      </c>
      <c r="Y180">
        <v>21824</v>
      </c>
      <c r="AB180">
        <v>0.26139743328580101</v>
      </c>
      <c r="AC180">
        <v>0.39208816279969799</v>
      </c>
      <c r="AD180">
        <v>-3.7958616463688102E-2</v>
      </c>
      <c r="AE180">
        <v>-9.0329623890688798E-2</v>
      </c>
      <c r="AF180">
        <v>-2618.1543499999998</v>
      </c>
      <c r="AG180">
        <f t="shared" si="24"/>
        <v>1.9769519935909288</v>
      </c>
      <c r="AH180">
        <f t="shared" si="25"/>
        <v>0.30321904603595984</v>
      </c>
      <c r="AI180">
        <f t="shared" si="26"/>
        <v>0.26219450049939869</v>
      </c>
      <c r="AJ180">
        <f t="shared" si="27"/>
        <v>6430.5</v>
      </c>
      <c r="AK180">
        <f t="shared" si="28"/>
        <v>0.83430767740060074</v>
      </c>
      <c r="AL180">
        <f t="shared" si="29"/>
        <v>0.19992248813099506</v>
      </c>
      <c r="AM180">
        <f t="shared" si="30"/>
        <v>0.99829003254454185</v>
      </c>
      <c r="AN180">
        <f t="shared" si="31"/>
        <v>-8.5571535042923788E-4</v>
      </c>
      <c r="AO180">
        <f t="shared" si="32"/>
        <v>-0.16740521905204597</v>
      </c>
      <c r="AP180">
        <f t="shared" si="33"/>
        <v>0.1116083916083916</v>
      </c>
      <c r="AQ180">
        <f t="shared" si="34"/>
        <v>0.58554310261296472</v>
      </c>
      <c r="AR180">
        <f t="shared" si="35"/>
        <v>0.58454184296372858</v>
      </c>
    </row>
    <row r="181" spans="1:44" x14ac:dyDescent="0.25">
      <c r="A181">
        <v>179</v>
      </c>
      <c r="B181">
        <v>-32.605277999999998</v>
      </c>
      <c r="C181">
        <v>25.885000000000002</v>
      </c>
      <c r="D181" s="1">
        <v>41219</v>
      </c>
      <c r="H181">
        <v>233</v>
      </c>
      <c r="I181">
        <v>10064.5</v>
      </c>
      <c r="J181">
        <v>8833</v>
      </c>
      <c r="K181">
        <v>355</v>
      </c>
      <c r="L181">
        <v>9645</v>
      </c>
      <c r="M181">
        <v>52</v>
      </c>
      <c r="N181">
        <v>45363.5</v>
      </c>
      <c r="O181">
        <v>9264.5</v>
      </c>
      <c r="P181">
        <v>629</v>
      </c>
      <c r="Q181">
        <v>8990</v>
      </c>
      <c r="R181">
        <v>267</v>
      </c>
      <c r="S181">
        <v>9961</v>
      </c>
      <c r="T181">
        <v>15908</v>
      </c>
      <c r="U181">
        <v>45363.5</v>
      </c>
      <c r="V181">
        <v>14036</v>
      </c>
      <c r="W181">
        <v>11511</v>
      </c>
      <c r="Y181">
        <v>5440</v>
      </c>
      <c r="AA181">
        <v>9</v>
      </c>
      <c r="AB181">
        <v>0.22498796804312199</v>
      </c>
      <c r="AC181">
        <v>0.33747545528048301</v>
      </c>
      <c r="AD181">
        <v>-1.31138478547956E-2</v>
      </c>
      <c r="AE181">
        <v>-6.2516697835960394E-2</v>
      </c>
      <c r="AF181">
        <v>-3213.2835500000001</v>
      </c>
      <c r="AG181">
        <f t="shared" si="24"/>
        <v>1.4538239538239539</v>
      </c>
      <c r="AH181">
        <f t="shared" si="25"/>
        <v>0.26098443517144565</v>
      </c>
      <c r="AI181">
        <f t="shared" si="26"/>
        <v>0.22988905639955159</v>
      </c>
      <c r="AJ181">
        <f t="shared" si="27"/>
        <v>5946</v>
      </c>
      <c r="AK181">
        <f t="shared" si="28"/>
        <v>0.88232335931606742</v>
      </c>
      <c r="AL181">
        <f t="shared" si="29"/>
        <v>0.16036325175972865</v>
      </c>
      <c r="AM181">
        <f t="shared" si="30"/>
        <v>0.98971632967360523</v>
      </c>
      <c r="AN181">
        <f t="shared" si="31"/>
        <v>-5.1684102768969568E-3</v>
      </c>
      <c r="AO181">
        <f t="shared" si="32"/>
        <v>-0.1280671637237879</v>
      </c>
      <c r="AP181">
        <f t="shared" si="33"/>
        <v>9.8837436881042781E-2</v>
      </c>
      <c r="AQ181">
        <f t="shared" si="34"/>
        <v>0.6326690973095298</v>
      </c>
      <c r="AR181">
        <f t="shared" si="35"/>
        <v>0.62616293688710079</v>
      </c>
    </row>
    <row r="182" spans="1:44" x14ac:dyDescent="0.25">
      <c r="A182">
        <v>180</v>
      </c>
      <c r="B182">
        <v>-33.185361110000002</v>
      </c>
      <c r="C182">
        <v>27.390750000000001</v>
      </c>
      <c r="D182" s="1">
        <v>41247</v>
      </c>
      <c r="H182">
        <v>195</v>
      </c>
      <c r="I182">
        <v>9554.5</v>
      </c>
      <c r="J182">
        <v>8692</v>
      </c>
      <c r="K182">
        <v>898</v>
      </c>
      <c r="L182">
        <v>9690</v>
      </c>
      <c r="M182">
        <v>80</v>
      </c>
      <c r="N182">
        <v>44817.5</v>
      </c>
      <c r="O182">
        <v>9190</v>
      </c>
      <c r="P182">
        <v>1856</v>
      </c>
      <c r="Q182">
        <v>7783</v>
      </c>
      <c r="R182">
        <v>1417</v>
      </c>
      <c r="S182">
        <v>9804</v>
      </c>
      <c r="T182">
        <v>17771</v>
      </c>
      <c r="U182">
        <v>44817.5</v>
      </c>
      <c r="V182">
        <v>12258</v>
      </c>
      <c r="W182">
        <v>9800</v>
      </c>
      <c r="Y182">
        <v>5440</v>
      </c>
      <c r="AA182">
        <v>111</v>
      </c>
      <c r="AB182">
        <v>0.300689831842052</v>
      </c>
      <c r="AC182">
        <v>0.45102649491326902</v>
      </c>
      <c r="AD182">
        <v>-9.6332508208097203E-2</v>
      </c>
      <c r="AE182">
        <v>-0.18358919710946001</v>
      </c>
      <c r="AF182">
        <v>-752.82614999999896</v>
      </c>
      <c r="AG182">
        <f t="shared" si="24"/>
        <v>2.0729892017357958</v>
      </c>
      <c r="AH182">
        <f t="shared" si="25"/>
        <v>0.3487981626061365</v>
      </c>
      <c r="AI182">
        <f t="shared" si="26"/>
        <v>0.28892112420670896</v>
      </c>
      <c r="AJ182">
        <f t="shared" si="27"/>
        <v>7966</v>
      </c>
      <c r="AK182">
        <f t="shared" si="28"/>
        <v>0.6897754769005684</v>
      </c>
      <c r="AL182">
        <f t="shared" si="29"/>
        <v>0.28910812085161947</v>
      </c>
      <c r="AM182">
        <f t="shared" si="30"/>
        <v>1.0261133497304935</v>
      </c>
      <c r="AN182">
        <f t="shared" si="31"/>
        <v>1.2888395278559806E-2</v>
      </c>
      <c r="AO182">
        <f t="shared" si="32"/>
        <v>-0.28477572668980289</v>
      </c>
      <c r="AP182">
        <f t="shared" si="33"/>
        <v>0.11143349351709131</v>
      </c>
      <c r="AQ182">
        <f t="shared" si="34"/>
        <v>0.53764560238590964</v>
      </c>
      <c r="AR182">
        <f t="shared" si="35"/>
        <v>0.55168533003207476</v>
      </c>
    </row>
    <row r="183" spans="1:44" x14ac:dyDescent="0.25">
      <c r="A183">
        <v>181</v>
      </c>
      <c r="B183">
        <v>-33.185361110000002</v>
      </c>
      <c r="C183">
        <v>27.390750000000001</v>
      </c>
      <c r="D183" s="1">
        <v>41228</v>
      </c>
      <c r="H183">
        <v>195</v>
      </c>
      <c r="I183">
        <v>9554.5</v>
      </c>
      <c r="J183">
        <v>8692</v>
      </c>
      <c r="K183">
        <v>898</v>
      </c>
      <c r="L183">
        <v>9690</v>
      </c>
      <c r="M183">
        <v>80</v>
      </c>
      <c r="N183">
        <v>44817.5</v>
      </c>
      <c r="O183">
        <v>9190</v>
      </c>
      <c r="P183">
        <v>1856</v>
      </c>
      <c r="Q183">
        <v>7783</v>
      </c>
      <c r="R183">
        <v>1417</v>
      </c>
      <c r="S183">
        <v>9804</v>
      </c>
      <c r="T183">
        <v>17771</v>
      </c>
      <c r="U183">
        <v>44817.5</v>
      </c>
      <c r="V183">
        <v>12258</v>
      </c>
      <c r="W183">
        <v>9800</v>
      </c>
      <c r="Y183">
        <v>5440</v>
      </c>
      <c r="AA183">
        <v>111</v>
      </c>
      <c r="AB183">
        <v>0.300689831842052</v>
      </c>
      <c r="AC183">
        <v>0.45102649491326902</v>
      </c>
      <c r="AD183">
        <v>-9.6332508208097203E-2</v>
      </c>
      <c r="AE183">
        <v>-0.18358919710946001</v>
      </c>
      <c r="AF183">
        <v>-752.82614999999896</v>
      </c>
      <c r="AG183">
        <f t="shared" si="24"/>
        <v>2.0729892017357958</v>
      </c>
      <c r="AH183">
        <f t="shared" si="25"/>
        <v>0.3487981626061365</v>
      </c>
      <c r="AI183">
        <f t="shared" si="26"/>
        <v>0.28892112420670896</v>
      </c>
      <c r="AJ183">
        <f t="shared" si="27"/>
        <v>7966</v>
      </c>
      <c r="AK183">
        <f t="shared" si="28"/>
        <v>0.6897754769005684</v>
      </c>
      <c r="AL183">
        <f t="shared" si="29"/>
        <v>0.28910812085161947</v>
      </c>
      <c r="AM183">
        <f t="shared" si="30"/>
        <v>1.0261133497304935</v>
      </c>
      <c r="AN183">
        <f t="shared" si="31"/>
        <v>1.2888395278559806E-2</v>
      </c>
      <c r="AO183">
        <f t="shared" si="32"/>
        <v>-0.28477572668980289</v>
      </c>
      <c r="AP183">
        <f t="shared" si="33"/>
        <v>0.11143349351709131</v>
      </c>
      <c r="AQ183">
        <f t="shared" si="34"/>
        <v>0.53764560238590964</v>
      </c>
      <c r="AR183">
        <f t="shared" si="35"/>
        <v>0.55168533003207476</v>
      </c>
    </row>
    <row r="184" spans="1:44" x14ac:dyDescent="0.25">
      <c r="A184">
        <v>182</v>
      </c>
      <c r="B184">
        <v>-32.043332999999997</v>
      </c>
      <c r="C184">
        <v>27.822778</v>
      </c>
      <c r="D184" s="1">
        <v>42198</v>
      </c>
      <c r="H184">
        <v>142</v>
      </c>
      <c r="I184">
        <v>10521</v>
      </c>
      <c r="J184">
        <v>8755.5</v>
      </c>
      <c r="K184">
        <v>250</v>
      </c>
      <c r="L184">
        <v>9704</v>
      </c>
      <c r="M184">
        <v>39</v>
      </c>
      <c r="O184">
        <v>7595.5</v>
      </c>
      <c r="P184">
        <v>436</v>
      </c>
      <c r="Q184">
        <v>9287</v>
      </c>
      <c r="R184">
        <v>8657.5</v>
      </c>
      <c r="S184">
        <v>9705.5</v>
      </c>
      <c r="T184">
        <v>12584</v>
      </c>
      <c r="V184">
        <v>12837</v>
      </c>
      <c r="W184">
        <v>11138.5</v>
      </c>
      <c r="Y184">
        <v>21824</v>
      </c>
      <c r="AB184">
        <v>8.9288032893313093E-2</v>
      </c>
      <c r="AC184">
        <v>0.13392915106792699</v>
      </c>
      <c r="AD184">
        <v>4.5159125230717599E-2</v>
      </c>
      <c r="AE184">
        <v>9.9524015577672001E-3</v>
      </c>
      <c r="AF184">
        <v>-3234.87074999999</v>
      </c>
      <c r="AG184">
        <f t="shared" si="24"/>
        <v>0.51345230095323424</v>
      </c>
      <c r="AH184">
        <f t="shared" si="25"/>
        <v>0.10357340091996765</v>
      </c>
      <c r="AI184">
        <f t="shared" si="26"/>
        <v>0.12914152403598106</v>
      </c>
      <c r="AJ184">
        <f t="shared" si="27"/>
        <v>2877.5</v>
      </c>
      <c r="AK184">
        <f t="shared" si="28"/>
        <v>1.0201048951048952</v>
      </c>
      <c r="AL184">
        <f t="shared" si="29"/>
        <v>6.0933712719991567E-2</v>
      </c>
      <c r="AM184">
        <f t="shared" si="30"/>
        <v>0.9224883566200931</v>
      </c>
      <c r="AN184">
        <f t="shared" si="31"/>
        <v>-4.0318394185845305E-2</v>
      </c>
      <c r="AO184">
        <f t="shared" si="32"/>
        <v>-6.3919627073251162E-2</v>
      </c>
      <c r="AP184">
        <f t="shared" si="33"/>
        <v>7.0843152384726077E-2</v>
      </c>
      <c r="AQ184">
        <f t="shared" si="34"/>
        <v>0.83606166560712014</v>
      </c>
      <c r="AR184">
        <f t="shared" si="35"/>
        <v>0.77125715193897015</v>
      </c>
    </row>
    <row r="185" spans="1:44" x14ac:dyDescent="0.25">
      <c r="A185">
        <v>183</v>
      </c>
      <c r="B185">
        <v>-32.000555560000002</v>
      </c>
      <c r="C185">
        <v>28.581666670000001</v>
      </c>
      <c r="D185" s="1">
        <v>40562</v>
      </c>
      <c r="H185">
        <v>272.5</v>
      </c>
      <c r="I185">
        <v>13630.5</v>
      </c>
      <c r="J185">
        <v>9715.5</v>
      </c>
      <c r="K185">
        <v>669.5</v>
      </c>
      <c r="L185">
        <v>9876</v>
      </c>
      <c r="N185">
        <v>41488</v>
      </c>
      <c r="O185">
        <v>7925</v>
      </c>
      <c r="P185">
        <v>1330.5</v>
      </c>
      <c r="Q185">
        <v>8148.5</v>
      </c>
      <c r="R185">
        <v>205</v>
      </c>
      <c r="S185">
        <v>11389.5</v>
      </c>
      <c r="T185">
        <v>13279.5</v>
      </c>
      <c r="U185">
        <v>41488</v>
      </c>
      <c r="V185">
        <v>8597.5</v>
      </c>
      <c r="W185">
        <v>7995</v>
      </c>
      <c r="X185">
        <v>32</v>
      </c>
      <c r="Y185">
        <v>5440</v>
      </c>
      <c r="AA185">
        <v>9</v>
      </c>
      <c r="AB185">
        <v>-1.30434782608695E-2</v>
      </c>
      <c r="AC185">
        <v>-1.9564853867449501E-2</v>
      </c>
      <c r="AD185">
        <v>-1.6960396258541E-2</v>
      </c>
      <c r="AE185">
        <v>-0.214014718654294</v>
      </c>
      <c r="AF185">
        <v>2950.6179499999898</v>
      </c>
      <c r="AG185">
        <f t="shared" si="24"/>
        <v>-3.9531923999594543E-2</v>
      </c>
      <c r="AH185">
        <f t="shared" si="25"/>
        <v>-1.5130344821435472E-2</v>
      </c>
      <c r="AI185">
        <f t="shared" si="26"/>
        <v>7.661437431594309E-2</v>
      </c>
      <c r="AJ185">
        <f t="shared" si="27"/>
        <v>1889</v>
      </c>
      <c r="AK185">
        <f t="shared" si="28"/>
        <v>0.64742648443088968</v>
      </c>
      <c r="AL185">
        <f t="shared" si="29"/>
        <v>0.24839596700274977</v>
      </c>
      <c r="AM185">
        <f t="shared" si="30"/>
        <v>0.83558930340046222</v>
      </c>
      <c r="AN185">
        <f t="shared" si="31"/>
        <v>-8.9568345323741014E-2</v>
      </c>
      <c r="AO185">
        <f t="shared" si="32"/>
        <v>-0.54933368941344063</v>
      </c>
      <c r="AP185">
        <f t="shared" si="33"/>
        <v>3.6311586560192857E-2</v>
      </c>
      <c r="AQ185">
        <f t="shared" si="34"/>
        <v>1.026431718061674</v>
      </c>
      <c r="AR185">
        <f t="shared" si="35"/>
        <v>0.85767536428329383</v>
      </c>
    </row>
    <row r="186" spans="1:44" x14ac:dyDescent="0.25">
      <c r="A186">
        <v>184</v>
      </c>
      <c r="B186">
        <v>-33.506388999999999</v>
      </c>
      <c r="C186">
        <v>26.744721999999999</v>
      </c>
      <c r="D186" s="1">
        <v>42179</v>
      </c>
      <c r="H186">
        <v>197</v>
      </c>
      <c r="I186">
        <v>8179</v>
      </c>
      <c r="J186">
        <v>7770</v>
      </c>
      <c r="K186">
        <v>387</v>
      </c>
      <c r="L186">
        <v>9833</v>
      </c>
      <c r="M186">
        <v>29</v>
      </c>
      <c r="N186">
        <v>39744.5</v>
      </c>
      <c r="O186">
        <v>7367</v>
      </c>
      <c r="P186">
        <v>721</v>
      </c>
      <c r="Q186">
        <v>8990</v>
      </c>
      <c r="R186">
        <v>1284.5</v>
      </c>
      <c r="S186">
        <v>8418</v>
      </c>
      <c r="T186">
        <v>13161</v>
      </c>
      <c r="U186">
        <v>39744.5</v>
      </c>
      <c r="V186">
        <v>10108.5</v>
      </c>
      <c r="W186">
        <v>8514</v>
      </c>
      <c r="X186">
        <v>0.5</v>
      </c>
      <c r="Y186">
        <v>5440</v>
      </c>
      <c r="AA186">
        <v>8</v>
      </c>
      <c r="AB186">
        <v>0.23345829428303599</v>
      </c>
      <c r="AC186">
        <v>0.35017923666268302</v>
      </c>
      <c r="AD186">
        <v>-6.74044137333146E-2</v>
      </c>
      <c r="AE186">
        <v>-0.13118030039321801</v>
      </c>
      <c r="AF186">
        <v>-1071.71525</v>
      </c>
      <c r="AG186">
        <f t="shared" si="24"/>
        <v>3.1444079777833882</v>
      </c>
      <c r="AH186">
        <f t="shared" si="25"/>
        <v>0.27080959093090212</v>
      </c>
      <c r="AI186">
        <f t="shared" si="26"/>
        <v>0.21979702488530517</v>
      </c>
      <c r="AJ186">
        <f t="shared" si="27"/>
        <v>4742</v>
      </c>
      <c r="AK186">
        <f t="shared" si="28"/>
        <v>0.7680647367221336</v>
      </c>
      <c r="AL186">
        <f t="shared" si="29"/>
        <v>0.21439446366782006</v>
      </c>
      <c r="AM186">
        <f t="shared" si="30"/>
        <v>1.0292211761829075</v>
      </c>
      <c r="AN186">
        <f t="shared" si="31"/>
        <v>1.4400192805928783E-2</v>
      </c>
      <c r="AO186">
        <f t="shared" si="32"/>
        <v>-0.2035437213439153</v>
      </c>
      <c r="AP186">
        <f t="shared" si="33"/>
        <v>8.562223117196939E-2</v>
      </c>
      <c r="AQ186">
        <f t="shared" si="34"/>
        <v>0.6214573360686878</v>
      </c>
      <c r="AR186">
        <f t="shared" si="35"/>
        <v>0.63961705037611127</v>
      </c>
    </row>
    <row r="187" spans="1:44" x14ac:dyDescent="0.25">
      <c r="A187">
        <v>185</v>
      </c>
      <c r="B187">
        <v>-33.731110999999999</v>
      </c>
      <c r="C187">
        <v>24.618333</v>
      </c>
      <c r="D187" s="1">
        <v>41081</v>
      </c>
      <c r="H187">
        <v>315</v>
      </c>
      <c r="I187">
        <v>8303</v>
      </c>
      <c r="J187">
        <v>7960.5</v>
      </c>
      <c r="K187">
        <v>1237.5</v>
      </c>
      <c r="L187">
        <v>9708</v>
      </c>
      <c r="M187">
        <v>61</v>
      </c>
      <c r="N187">
        <v>44080.5</v>
      </c>
      <c r="O187">
        <v>8818</v>
      </c>
      <c r="P187">
        <v>2672</v>
      </c>
      <c r="Q187">
        <v>6750</v>
      </c>
      <c r="R187">
        <v>196.5</v>
      </c>
      <c r="S187">
        <v>8451.5</v>
      </c>
      <c r="T187">
        <v>12462.5</v>
      </c>
      <c r="U187">
        <v>44080.5</v>
      </c>
      <c r="V187">
        <v>10133.5</v>
      </c>
      <c r="W187">
        <v>8602</v>
      </c>
      <c r="Y187">
        <v>5440</v>
      </c>
      <c r="AA187">
        <v>21</v>
      </c>
      <c r="AB187">
        <v>0.20030820351063</v>
      </c>
      <c r="AC187">
        <v>0.30045507078878902</v>
      </c>
      <c r="AD187">
        <v>-5.1120060731609997E-2</v>
      </c>
      <c r="AE187">
        <v>-0.10307134006018701</v>
      </c>
      <c r="AF187">
        <v>-1291.5026</v>
      </c>
      <c r="AG187">
        <f t="shared" si="24"/>
        <v>4.034041315100378</v>
      </c>
      <c r="AH187">
        <f t="shared" si="25"/>
        <v>0.23235572575107169</v>
      </c>
      <c r="AI187">
        <f t="shared" si="26"/>
        <v>0.19178540690446591</v>
      </c>
      <c r="AJ187">
        <f t="shared" si="27"/>
        <v>4010</v>
      </c>
      <c r="AK187">
        <f t="shared" si="28"/>
        <v>0.81311935807422264</v>
      </c>
      <c r="AL187">
        <f t="shared" si="29"/>
        <v>0.1832704312943578</v>
      </c>
      <c r="AM187">
        <f t="shared" si="30"/>
        <v>1.0178851017704444</v>
      </c>
      <c r="AN187">
        <f t="shared" si="31"/>
        <v>8.8632904592795964E-3</v>
      </c>
      <c r="AO187">
        <f t="shared" si="32"/>
        <v>-0.16930979651372036</v>
      </c>
      <c r="AP187">
        <f t="shared" si="33"/>
        <v>8.1743214752742127E-2</v>
      </c>
      <c r="AQ187">
        <f t="shared" si="34"/>
        <v>0.66623871614844532</v>
      </c>
      <c r="AR187">
        <f t="shared" si="35"/>
        <v>0.67815446339017049</v>
      </c>
    </row>
    <row r="188" spans="1:44" x14ac:dyDescent="0.25">
      <c r="A188">
        <v>186</v>
      </c>
      <c r="B188">
        <v>-32.515278000000002</v>
      </c>
      <c r="C188">
        <v>28.015556</v>
      </c>
      <c r="D188" s="1">
        <v>40961</v>
      </c>
      <c r="H188">
        <v>334.5</v>
      </c>
      <c r="I188">
        <v>10348.5</v>
      </c>
      <c r="J188">
        <v>8742.5</v>
      </c>
      <c r="K188">
        <v>1277</v>
      </c>
      <c r="L188">
        <v>9862</v>
      </c>
      <c r="M188">
        <v>60</v>
      </c>
      <c r="N188">
        <v>45181</v>
      </c>
      <c r="O188">
        <v>8967</v>
      </c>
      <c r="P188">
        <v>2785</v>
      </c>
      <c r="Q188">
        <v>6382</v>
      </c>
      <c r="R188">
        <v>179.5</v>
      </c>
      <c r="S188">
        <v>10000</v>
      </c>
      <c r="T188">
        <v>18103</v>
      </c>
      <c r="U188">
        <v>45181</v>
      </c>
      <c r="V188">
        <v>11384</v>
      </c>
      <c r="W188">
        <v>9032</v>
      </c>
      <c r="Y188">
        <v>5440</v>
      </c>
      <c r="AA188">
        <v>58</v>
      </c>
      <c r="AB188">
        <v>0.27255153506844898</v>
      </c>
      <c r="AC188">
        <v>0.408820118093631</v>
      </c>
      <c r="AD188">
        <v>-0.105253406892008</v>
      </c>
      <c r="AE188">
        <v>-0.227863126123376</v>
      </c>
      <c r="AF188">
        <v>639.41480000000001</v>
      </c>
      <c r="AG188">
        <f t="shared" si="24"/>
        <v>1.3254422698914623</v>
      </c>
      <c r="AH188">
        <f t="shared" si="25"/>
        <v>0.31615800273165079</v>
      </c>
      <c r="AI188">
        <f t="shared" si="26"/>
        <v>0.28833220652599367</v>
      </c>
      <c r="AJ188">
        <f t="shared" si="27"/>
        <v>8102</v>
      </c>
      <c r="AK188">
        <f t="shared" si="28"/>
        <v>0.62884604761641716</v>
      </c>
      <c r="AL188">
        <f t="shared" si="29"/>
        <v>0.33429150543578406</v>
      </c>
      <c r="AM188">
        <f t="shared" si="30"/>
        <v>0.96632362178093445</v>
      </c>
      <c r="AN188">
        <f t="shared" si="31"/>
        <v>-1.7126569526009289E-2</v>
      </c>
      <c r="AO188">
        <f t="shared" si="32"/>
        <v>-0.40600395238358289</v>
      </c>
      <c r="AP188">
        <f t="shared" si="33"/>
        <v>0.1152037617554859</v>
      </c>
      <c r="AQ188">
        <f t="shared" si="34"/>
        <v>0.57164558360492734</v>
      </c>
      <c r="AR188">
        <f t="shared" si="35"/>
        <v>0.55239463072418937</v>
      </c>
    </row>
    <row r="189" spans="1:44" x14ac:dyDescent="0.25">
      <c r="A189">
        <v>187</v>
      </c>
      <c r="B189">
        <v>-34.096389000000002</v>
      </c>
      <c r="C189">
        <v>24.439167000000001</v>
      </c>
      <c r="D189" s="1">
        <v>41752</v>
      </c>
      <c r="H189">
        <v>206</v>
      </c>
      <c r="I189">
        <v>7952</v>
      </c>
      <c r="J189">
        <v>7762</v>
      </c>
      <c r="K189">
        <v>566</v>
      </c>
      <c r="L189">
        <v>9777</v>
      </c>
      <c r="M189">
        <v>47</v>
      </c>
      <c r="O189">
        <v>9134</v>
      </c>
      <c r="P189">
        <v>1093</v>
      </c>
      <c r="Q189">
        <v>8626</v>
      </c>
      <c r="R189">
        <v>340.5</v>
      </c>
      <c r="S189">
        <v>8290</v>
      </c>
      <c r="T189">
        <v>14102.5</v>
      </c>
      <c r="V189">
        <v>10425</v>
      </c>
      <c r="W189">
        <v>8611.5</v>
      </c>
      <c r="Y189">
        <v>21824</v>
      </c>
      <c r="AB189">
        <v>0.278877326622684</v>
      </c>
      <c r="AC189">
        <v>0.418306506461119</v>
      </c>
      <c r="AD189">
        <v>-8.6664264503062693E-2</v>
      </c>
      <c r="AE189">
        <v>-0.14993374783406299</v>
      </c>
      <c r="AF189">
        <v>-1121.6368</v>
      </c>
      <c r="AG189">
        <f t="shared" si="24"/>
        <v>4.2705874184141095</v>
      </c>
      <c r="AH189">
        <f t="shared" si="25"/>
        <v>0.32349535200270602</v>
      </c>
      <c r="AI189">
        <f t="shared" si="26"/>
        <v>0.25957351791894606</v>
      </c>
      <c r="AJ189">
        <f t="shared" si="27"/>
        <v>5811.5</v>
      </c>
      <c r="AK189">
        <f t="shared" si="28"/>
        <v>0.73923063286651303</v>
      </c>
      <c r="AL189">
        <f t="shared" si="29"/>
        <v>0.24174517918464383</v>
      </c>
      <c r="AM189">
        <f t="shared" si="30"/>
        <v>1.0425050301810865</v>
      </c>
      <c r="AN189">
        <f t="shared" si="31"/>
        <v>2.0810245043713829E-2</v>
      </c>
      <c r="AO189">
        <f t="shared" si="32"/>
        <v>-0.21999735265821552</v>
      </c>
      <c r="AP189">
        <f t="shared" si="33"/>
        <v>9.5264360570483014E-2</v>
      </c>
      <c r="AQ189">
        <f t="shared" si="34"/>
        <v>0.56387165396206351</v>
      </c>
      <c r="AR189">
        <f t="shared" si="35"/>
        <v>0.58783903563198014</v>
      </c>
    </row>
    <row r="190" spans="1:44" x14ac:dyDescent="0.25">
      <c r="A190">
        <v>188</v>
      </c>
      <c r="B190">
        <v>-32.515278000000002</v>
      </c>
      <c r="C190">
        <v>28.015556</v>
      </c>
      <c r="D190" s="1">
        <v>41974</v>
      </c>
      <c r="H190">
        <v>174</v>
      </c>
      <c r="I190">
        <v>10193</v>
      </c>
      <c r="J190">
        <v>8646.5</v>
      </c>
      <c r="K190">
        <v>987</v>
      </c>
      <c r="L190">
        <v>9852</v>
      </c>
      <c r="M190">
        <v>60</v>
      </c>
      <c r="O190">
        <v>9375</v>
      </c>
      <c r="P190">
        <v>2020</v>
      </c>
      <c r="Q190">
        <v>7295</v>
      </c>
      <c r="R190">
        <v>2269</v>
      </c>
      <c r="S190">
        <v>10059.5</v>
      </c>
      <c r="T190">
        <v>17661.5</v>
      </c>
      <c r="V190">
        <v>11990</v>
      </c>
      <c r="W190">
        <v>9450.5</v>
      </c>
      <c r="Y190">
        <v>21824</v>
      </c>
      <c r="AB190">
        <v>0.26812543754151003</v>
      </c>
      <c r="AC190">
        <v>0.402180936995153</v>
      </c>
      <c r="AD190">
        <v>-8.5067332082242E-2</v>
      </c>
      <c r="AE190">
        <v>-0.19127194239751699</v>
      </c>
      <c r="AF190">
        <v>-186.90549999999899</v>
      </c>
      <c r="AG190">
        <f t="shared" si="24"/>
        <v>1.3363572923935798</v>
      </c>
      <c r="AH190">
        <f t="shared" si="25"/>
        <v>0.31102372098600373</v>
      </c>
      <c r="AI190">
        <f t="shared" si="26"/>
        <v>0.27423253129396485</v>
      </c>
      <c r="AJ190">
        <f t="shared" si="27"/>
        <v>7601</v>
      </c>
      <c r="AK190">
        <f t="shared" si="28"/>
        <v>0.67887778501259799</v>
      </c>
      <c r="AL190">
        <f t="shared" si="29"/>
        <v>0.30285482443198586</v>
      </c>
      <c r="AM190">
        <f t="shared" si="30"/>
        <v>0.98690277641518687</v>
      </c>
      <c r="AN190">
        <f t="shared" si="31"/>
        <v>-6.5917787927416366E-3</v>
      </c>
      <c r="AO190">
        <f t="shared" si="32"/>
        <v>-0.33439325231530104</v>
      </c>
      <c r="AP190">
        <f t="shared" si="33"/>
        <v>0.11844406613651734</v>
      </c>
      <c r="AQ190">
        <f t="shared" si="34"/>
        <v>0.57713104775925039</v>
      </c>
      <c r="AR190">
        <f t="shared" si="35"/>
        <v>0.56957223338900997</v>
      </c>
    </row>
    <row r="191" spans="1:44" x14ac:dyDescent="0.25">
      <c r="A191">
        <v>189</v>
      </c>
      <c r="B191">
        <v>-32.991638889999997</v>
      </c>
      <c r="C191">
        <v>27.64002778</v>
      </c>
      <c r="D191" s="1">
        <v>41655</v>
      </c>
      <c r="H191">
        <v>253.5</v>
      </c>
      <c r="I191">
        <v>9027.5</v>
      </c>
      <c r="J191">
        <v>8057.5</v>
      </c>
      <c r="K191">
        <v>1571</v>
      </c>
      <c r="L191">
        <v>9844</v>
      </c>
      <c r="M191">
        <v>47</v>
      </c>
      <c r="O191">
        <v>9789</v>
      </c>
      <c r="P191">
        <v>3482</v>
      </c>
      <c r="Q191">
        <v>5782</v>
      </c>
      <c r="R191">
        <v>1115.5</v>
      </c>
      <c r="S191">
        <v>9266</v>
      </c>
      <c r="T191">
        <v>16959.5</v>
      </c>
      <c r="V191">
        <v>12864.5</v>
      </c>
      <c r="W191">
        <v>9973</v>
      </c>
      <c r="Y191">
        <v>21824</v>
      </c>
      <c r="AB191">
        <v>0.305229537845846</v>
      </c>
      <c r="AC191">
        <v>0.45783549783549699</v>
      </c>
      <c r="AD191">
        <v>-6.6618346159585506E-2</v>
      </c>
      <c r="AE191">
        <v>-0.13730552575107199</v>
      </c>
      <c r="AF191">
        <v>-1914.8553999999999</v>
      </c>
      <c r="AG191">
        <f t="shared" si="24"/>
        <v>1.8542674801879515</v>
      </c>
      <c r="AH191">
        <f t="shared" si="25"/>
        <v>0.35406408395530714</v>
      </c>
      <c r="AI191">
        <f t="shared" si="26"/>
        <v>0.2933595165011153</v>
      </c>
      <c r="AJ191">
        <f t="shared" si="27"/>
        <v>7692.5</v>
      </c>
      <c r="AK191">
        <f t="shared" si="28"/>
        <v>0.75854240985878119</v>
      </c>
      <c r="AL191">
        <f t="shared" si="29"/>
        <v>0.25940777870602433</v>
      </c>
      <c r="AM191">
        <f t="shared" si="30"/>
        <v>1.0264192744392135</v>
      </c>
      <c r="AN191">
        <f t="shared" si="31"/>
        <v>1.3037417662011096E-2</v>
      </c>
      <c r="AO191">
        <f t="shared" si="32"/>
        <v>-0.21571832832382187</v>
      </c>
      <c r="AP191">
        <f t="shared" si="33"/>
        <v>0.12661193212917352</v>
      </c>
      <c r="AQ191">
        <f t="shared" si="34"/>
        <v>0.53229753235649635</v>
      </c>
      <c r="AR191">
        <f t="shared" si="35"/>
        <v>0.54636044694713881</v>
      </c>
    </row>
    <row r="192" spans="1:44" x14ac:dyDescent="0.25">
      <c r="A192">
        <v>190</v>
      </c>
      <c r="B192">
        <v>-33.202778000000002</v>
      </c>
      <c r="C192">
        <v>24.235555999999999</v>
      </c>
      <c r="D192" s="1">
        <v>40798</v>
      </c>
      <c r="H192">
        <v>-9999</v>
      </c>
      <c r="K192">
        <v>-9999</v>
      </c>
      <c r="L192">
        <v>-9999</v>
      </c>
      <c r="M192">
        <v>-9999</v>
      </c>
      <c r="O192">
        <v>-9999</v>
      </c>
      <c r="P192">
        <v>-9999</v>
      </c>
      <c r="Q192">
        <v>-9999</v>
      </c>
      <c r="R192">
        <v>-9999</v>
      </c>
      <c r="Y192">
        <v>1</v>
      </c>
      <c r="AA192">
        <v>-9999</v>
      </c>
    </row>
    <row r="193" spans="1:44" x14ac:dyDescent="0.25">
      <c r="A193">
        <v>191</v>
      </c>
      <c r="B193">
        <v>-31.905000000000001</v>
      </c>
      <c r="C193">
        <v>25.43</v>
      </c>
      <c r="D193" s="1">
        <v>42366</v>
      </c>
      <c r="H193">
        <v>207.5</v>
      </c>
      <c r="I193">
        <v>10899.5</v>
      </c>
      <c r="J193">
        <v>9481</v>
      </c>
      <c r="K193">
        <v>976</v>
      </c>
      <c r="L193">
        <v>9645.5</v>
      </c>
      <c r="M193">
        <v>82</v>
      </c>
      <c r="N193">
        <v>47902.5</v>
      </c>
      <c r="O193">
        <v>10027.5</v>
      </c>
      <c r="P193">
        <v>2003</v>
      </c>
      <c r="Q193">
        <v>7438</v>
      </c>
      <c r="R193">
        <v>1471.5</v>
      </c>
      <c r="S193">
        <v>10362.5</v>
      </c>
      <c r="T193">
        <v>14806</v>
      </c>
      <c r="U193">
        <v>47902.5</v>
      </c>
      <c r="V193">
        <v>13830</v>
      </c>
      <c r="W193">
        <v>11956.5</v>
      </c>
      <c r="X193">
        <v>4</v>
      </c>
      <c r="Y193">
        <v>5440</v>
      </c>
      <c r="AA193">
        <v>8</v>
      </c>
      <c r="AB193">
        <v>0.15197136799517599</v>
      </c>
      <c r="AC193">
        <v>0.22795261806582101</v>
      </c>
      <c r="AD193">
        <v>9.0275723480868E-3</v>
      </c>
      <c r="AE193">
        <v>-3.4082972482190201E-2</v>
      </c>
      <c r="AF193">
        <v>-3193.9689499999999</v>
      </c>
      <c r="AG193">
        <f t="shared" si="24"/>
        <v>1.073627219260155</v>
      </c>
      <c r="AH193">
        <f t="shared" si="25"/>
        <v>0.17628568961077054</v>
      </c>
      <c r="AI193">
        <f t="shared" si="26"/>
        <v>0.17655005264517154</v>
      </c>
      <c r="AJ193">
        <f t="shared" si="27"/>
        <v>4442.5</v>
      </c>
      <c r="AK193">
        <f t="shared" si="28"/>
        <v>0.93408077806294743</v>
      </c>
      <c r="AL193">
        <f t="shared" si="29"/>
        <v>0.10647361046240075</v>
      </c>
      <c r="AM193">
        <f t="shared" si="30"/>
        <v>0.95073168493967608</v>
      </c>
      <c r="AN193">
        <f t="shared" si="31"/>
        <v>-2.5256325839525914E-2</v>
      </c>
      <c r="AO193">
        <f t="shared" si="32"/>
        <v>-0.11774069358964612</v>
      </c>
      <c r="AP193">
        <f t="shared" si="33"/>
        <v>7.2654295852480955E-2</v>
      </c>
      <c r="AQ193">
        <f t="shared" si="34"/>
        <v>0.73615426178576249</v>
      </c>
      <c r="AR193">
        <f t="shared" si="35"/>
        <v>0.69988518168310143</v>
      </c>
    </row>
    <row r="194" spans="1:44" x14ac:dyDescent="0.25">
      <c r="A194">
        <v>192</v>
      </c>
      <c r="B194">
        <v>-33.237780000000001</v>
      </c>
      <c r="C194">
        <v>26.994720000000001</v>
      </c>
      <c r="D194" s="1">
        <v>41221</v>
      </c>
      <c r="H194">
        <v>204</v>
      </c>
      <c r="I194">
        <v>11366.5</v>
      </c>
      <c r="J194">
        <v>9383</v>
      </c>
      <c r="K194">
        <v>396</v>
      </c>
      <c r="L194">
        <v>9749</v>
      </c>
      <c r="M194">
        <v>61</v>
      </c>
      <c r="N194">
        <v>44564</v>
      </c>
      <c r="O194">
        <v>9153</v>
      </c>
      <c r="P194">
        <v>736</v>
      </c>
      <c r="Q194">
        <v>9043</v>
      </c>
      <c r="R194">
        <v>1167</v>
      </c>
      <c r="S194">
        <v>10792</v>
      </c>
      <c r="T194">
        <v>12442.5</v>
      </c>
      <c r="U194">
        <v>44564</v>
      </c>
      <c r="V194">
        <v>10398</v>
      </c>
      <c r="W194">
        <v>9639</v>
      </c>
      <c r="X194">
        <v>8</v>
      </c>
      <c r="Y194">
        <v>5440</v>
      </c>
      <c r="AA194">
        <v>9</v>
      </c>
      <c r="AB194">
        <v>4.5192994245873398E-2</v>
      </c>
      <c r="AC194">
        <v>6.7788067788067702E-2</v>
      </c>
      <c r="AD194">
        <v>-1.3994035329202999E-3</v>
      </c>
      <c r="AE194">
        <v>-8.9512050962106696E-2</v>
      </c>
      <c r="AF194">
        <v>-276.8621</v>
      </c>
      <c r="AG194">
        <f t="shared" si="24"/>
        <v>0.26192794547224929</v>
      </c>
      <c r="AH194">
        <f t="shared" si="25"/>
        <v>5.2423521031401354E-2</v>
      </c>
      <c r="AI194">
        <f t="shared" si="26"/>
        <v>7.1036605048526977E-2</v>
      </c>
      <c r="AJ194">
        <f t="shared" si="27"/>
        <v>1649.5</v>
      </c>
      <c r="AK194">
        <f t="shared" si="28"/>
        <v>0.83568414707655214</v>
      </c>
      <c r="AL194">
        <f t="shared" si="29"/>
        <v>0.12696148359486448</v>
      </c>
      <c r="AM194">
        <f t="shared" si="30"/>
        <v>0.94945673690230059</v>
      </c>
      <c r="AN194">
        <f t="shared" si="31"/>
        <v>-2.5926845228693277E-2</v>
      </c>
      <c r="AO194">
        <f t="shared" si="32"/>
        <v>-0.21754972986933363</v>
      </c>
      <c r="AP194">
        <f t="shared" si="33"/>
        <v>3.7879922144033538E-2</v>
      </c>
      <c r="AQ194">
        <f t="shared" si="34"/>
        <v>0.91352220212979707</v>
      </c>
      <c r="AR194">
        <f t="shared" si="35"/>
        <v>0.86734980912196102</v>
      </c>
    </row>
    <row r="195" spans="1:44" x14ac:dyDescent="0.25">
      <c r="A195">
        <v>193</v>
      </c>
      <c r="B195">
        <v>-31.905000000000001</v>
      </c>
      <c r="C195">
        <v>25.43</v>
      </c>
      <c r="D195" s="1">
        <v>41778</v>
      </c>
      <c r="H195">
        <v>223</v>
      </c>
      <c r="I195">
        <v>9411</v>
      </c>
      <c r="J195">
        <v>8207</v>
      </c>
      <c r="K195">
        <v>327</v>
      </c>
      <c r="L195">
        <v>9663.5</v>
      </c>
      <c r="M195">
        <v>82</v>
      </c>
      <c r="O195">
        <v>7860</v>
      </c>
      <c r="P195">
        <v>590</v>
      </c>
      <c r="Q195">
        <v>9126</v>
      </c>
      <c r="R195">
        <v>728</v>
      </c>
      <c r="S195">
        <v>9263.5</v>
      </c>
      <c r="T195">
        <v>12888</v>
      </c>
      <c r="V195">
        <v>11584</v>
      </c>
      <c r="W195">
        <v>10126</v>
      </c>
      <c r="Y195">
        <v>21824</v>
      </c>
      <c r="AB195">
        <v>0.155926274720839</v>
      </c>
      <c r="AC195">
        <v>0.23388416780645299</v>
      </c>
      <c r="AD195">
        <v>-2.375861249703E-3</v>
      </c>
      <c r="AE195">
        <v>-5.3285387381497198E-2</v>
      </c>
      <c r="AF195">
        <v>-2312.43705</v>
      </c>
      <c r="AG195">
        <f t="shared" ref="AG195:AG201" si="36">(2.5*(T195-I195))/(T195+6*I195-7.5*J195+1)</f>
        <v>1.1140660044857418</v>
      </c>
      <c r="AH195">
        <f t="shared" ref="AH195:AH201" si="37">(1.16*(T195-I195))/(T195+I195+0.16)</f>
        <v>0.18087318087318086</v>
      </c>
      <c r="AI195">
        <f t="shared" ref="AI195:AI201" si="38">(T195-S195)/(T195+S195)</f>
        <v>0.16362323093244249</v>
      </c>
      <c r="AJ195">
        <f t="shared" ref="AJ195:AJ201" si="39">(T195-S195)-1</f>
        <v>3623.5</v>
      </c>
      <c r="AK195">
        <f t="shared" ref="AK195:AK201" si="40">V195/T195</f>
        <v>0.89882060831781507</v>
      </c>
      <c r="AL195">
        <f t="shared" ref="AL195:AL201" si="41">(T195-W195)/(T195+W195)</f>
        <v>0.12001390457982097</v>
      </c>
      <c r="AM195">
        <f t="shared" ref="AM195:AM201" si="42">S195/I195</f>
        <v>0.98432685155668898</v>
      </c>
      <c r="AN195">
        <f t="shared" ref="AN195:AN201" si="43">(S195-I195)/(S195+I195)</f>
        <v>-7.898471177273823E-3</v>
      </c>
      <c r="AO195">
        <f t="shared" ref="AO195:AO201" si="44">((V195/T195)-(I195/S195))</f>
        <v>-0.11710209908219571</v>
      </c>
      <c r="AP195">
        <f t="shared" ref="AP195:AP201" si="45">(V195-W195)/(V195+W195)</f>
        <v>6.7157991708889919E-2</v>
      </c>
      <c r="AQ195">
        <f t="shared" ref="AQ195:AQ201" si="46">I195/T195</f>
        <v>0.73021415270018619</v>
      </c>
      <c r="AR195">
        <f t="shared" ref="AR195:AR201" si="47">S195/T195</f>
        <v>0.71876939788950966</v>
      </c>
    </row>
    <row r="196" spans="1:44" x14ac:dyDescent="0.25">
      <c r="A196">
        <v>194</v>
      </c>
      <c r="B196">
        <v>-33.506388999999999</v>
      </c>
      <c r="C196">
        <v>26.744721999999999</v>
      </c>
      <c r="D196" s="1">
        <v>42234</v>
      </c>
      <c r="H196">
        <v>196</v>
      </c>
      <c r="I196">
        <v>8298</v>
      </c>
      <c r="J196">
        <v>7889</v>
      </c>
      <c r="K196">
        <v>264</v>
      </c>
      <c r="L196">
        <v>9816</v>
      </c>
      <c r="M196">
        <v>29</v>
      </c>
      <c r="N196">
        <v>42206</v>
      </c>
      <c r="O196">
        <v>8372</v>
      </c>
      <c r="P196">
        <v>460</v>
      </c>
      <c r="Q196">
        <v>9380</v>
      </c>
      <c r="R196">
        <v>1273.5</v>
      </c>
      <c r="S196">
        <v>8568</v>
      </c>
      <c r="T196">
        <v>12993.5</v>
      </c>
      <c r="U196">
        <v>42206</v>
      </c>
      <c r="V196">
        <v>10654</v>
      </c>
      <c r="W196">
        <v>8911</v>
      </c>
      <c r="Y196">
        <v>5440</v>
      </c>
      <c r="AA196">
        <v>9</v>
      </c>
      <c r="AB196">
        <v>0.22053401592184599</v>
      </c>
      <c r="AC196">
        <v>0.33079325568288498</v>
      </c>
      <c r="AD196">
        <v>-4.8463015727572799E-2</v>
      </c>
      <c r="AE196">
        <v>-9.8932233851358395E-2</v>
      </c>
      <c r="AF196">
        <v>-1611.36355</v>
      </c>
      <c r="AG196">
        <f t="shared" si="36"/>
        <v>3.2472337482710927</v>
      </c>
      <c r="AH196">
        <f t="shared" si="37"/>
        <v>0.25581753606811303</v>
      </c>
      <c r="AI196">
        <f t="shared" si="38"/>
        <v>0.20525009855529533</v>
      </c>
      <c r="AJ196">
        <f t="shared" si="39"/>
        <v>4424.5</v>
      </c>
      <c r="AK196">
        <f t="shared" si="40"/>
        <v>0.81994843575633969</v>
      </c>
      <c r="AL196">
        <f t="shared" si="41"/>
        <v>0.18637722842338333</v>
      </c>
      <c r="AM196">
        <f t="shared" si="42"/>
        <v>1.0325379609544469</v>
      </c>
      <c r="AN196">
        <f t="shared" si="43"/>
        <v>1.6008537886872998E-2</v>
      </c>
      <c r="AO196">
        <f t="shared" si="44"/>
        <v>-0.14853895920164351</v>
      </c>
      <c r="AP196">
        <f t="shared" si="45"/>
        <v>8.9087656529517001E-2</v>
      </c>
      <c r="AQ196">
        <f t="shared" si="46"/>
        <v>0.63862700581059761</v>
      </c>
      <c r="AR196">
        <f t="shared" si="47"/>
        <v>0.65940662639011816</v>
      </c>
    </row>
    <row r="197" spans="1:44" x14ac:dyDescent="0.25">
      <c r="A197">
        <v>195</v>
      </c>
      <c r="B197">
        <v>-33.771110999999998</v>
      </c>
      <c r="C197">
        <v>25.386666999999999</v>
      </c>
      <c r="D197" s="1">
        <v>41249</v>
      </c>
      <c r="H197">
        <v>360</v>
      </c>
      <c r="I197">
        <v>9201</v>
      </c>
      <c r="J197">
        <v>8542</v>
      </c>
      <c r="K197">
        <v>1554</v>
      </c>
      <c r="L197">
        <v>9833</v>
      </c>
      <c r="M197">
        <v>96</v>
      </c>
      <c r="N197">
        <v>47168.5</v>
      </c>
      <c r="O197">
        <v>9748</v>
      </c>
      <c r="P197">
        <v>3366</v>
      </c>
      <c r="Q197">
        <v>5979</v>
      </c>
      <c r="R197">
        <v>142.5</v>
      </c>
      <c r="S197">
        <v>9492</v>
      </c>
      <c r="T197">
        <v>17562</v>
      </c>
      <c r="U197">
        <v>47168.5</v>
      </c>
      <c r="V197">
        <v>13559.5</v>
      </c>
      <c r="W197">
        <v>10235</v>
      </c>
      <c r="Y197">
        <v>5440</v>
      </c>
      <c r="AA197">
        <v>10</v>
      </c>
      <c r="AB197">
        <v>0.312408922766506</v>
      </c>
      <c r="AC197">
        <v>0.468604629439348</v>
      </c>
      <c r="AD197">
        <v>-6.8423906926296102E-2</v>
      </c>
      <c r="AE197">
        <v>-0.128608839548222</v>
      </c>
      <c r="AF197">
        <v>-2148.9031500000001</v>
      </c>
      <c r="AG197">
        <f t="shared" si="36"/>
        <v>2.4014820772058822</v>
      </c>
      <c r="AH197">
        <f t="shared" si="37"/>
        <v>0.36239218388262073</v>
      </c>
      <c r="AI197">
        <f t="shared" si="38"/>
        <v>0.29829230428032821</v>
      </c>
      <c r="AJ197">
        <f t="shared" si="39"/>
        <v>8069</v>
      </c>
      <c r="AK197">
        <f t="shared" si="40"/>
        <v>0.77209315567702996</v>
      </c>
      <c r="AL197">
        <f t="shared" si="41"/>
        <v>0.26358959599956827</v>
      </c>
      <c r="AM197">
        <f t="shared" si="42"/>
        <v>1.0316269970655363</v>
      </c>
      <c r="AN197">
        <f t="shared" si="43"/>
        <v>1.5567324666987643E-2</v>
      </c>
      <c r="AO197">
        <f t="shared" si="44"/>
        <v>-0.19724944862132654</v>
      </c>
      <c r="AP197">
        <f t="shared" si="45"/>
        <v>0.13971716152892474</v>
      </c>
      <c r="AQ197">
        <f t="shared" si="46"/>
        <v>0.52391527160915619</v>
      </c>
      <c r="AR197">
        <f t="shared" si="47"/>
        <v>0.54048513836692857</v>
      </c>
    </row>
    <row r="198" spans="1:44" x14ac:dyDescent="0.25">
      <c r="A198">
        <v>196</v>
      </c>
      <c r="B198">
        <v>-33.185361110000002</v>
      </c>
      <c r="C198">
        <v>27.390750000000001</v>
      </c>
      <c r="D198" s="1">
        <v>41886</v>
      </c>
      <c r="H198">
        <v>167</v>
      </c>
      <c r="I198">
        <v>8931.5</v>
      </c>
      <c r="J198">
        <v>8045</v>
      </c>
      <c r="K198">
        <v>608</v>
      </c>
      <c r="L198">
        <v>9718</v>
      </c>
      <c r="M198">
        <v>80</v>
      </c>
      <c r="O198">
        <v>8432.5</v>
      </c>
      <c r="P198">
        <v>1180</v>
      </c>
      <c r="Q198">
        <v>8285</v>
      </c>
      <c r="R198">
        <v>1960.5</v>
      </c>
      <c r="S198">
        <v>9083.5</v>
      </c>
      <c r="T198">
        <v>15883</v>
      </c>
      <c r="V198">
        <v>12135.5</v>
      </c>
      <c r="W198">
        <v>9484</v>
      </c>
      <c r="Y198">
        <v>21824</v>
      </c>
      <c r="AB198">
        <v>0.28013862862439298</v>
      </c>
      <c r="AC198">
        <v>0.42019947612331199</v>
      </c>
      <c r="AD198">
        <v>-6.3584842760306695E-2</v>
      </c>
      <c r="AE198">
        <v>-0.133750914574299</v>
      </c>
      <c r="AF198">
        <v>-1609.2673500000001</v>
      </c>
      <c r="AG198">
        <f t="shared" si="36"/>
        <v>1.9023315636801488</v>
      </c>
      <c r="AH198">
        <f t="shared" si="37"/>
        <v>0.32495871392152864</v>
      </c>
      <c r="AI198">
        <f t="shared" si="38"/>
        <v>0.27234494222257827</v>
      </c>
      <c r="AJ198">
        <f t="shared" si="39"/>
        <v>6798.5</v>
      </c>
      <c r="AK198">
        <f t="shared" si="40"/>
        <v>0.76405590883334384</v>
      </c>
      <c r="AL198">
        <f t="shared" si="41"/>
        <v>0.2522568691607206</v>
      </c>
      <c r="AM198">
        <f t="shared" si="42"/>
        <v>1.0170184179589095</v>
      </c>
      <c r="AN198">
        <f t="shared" si="43"/>
        <v>8.4374132667221751E-3</v>
      </c>
      <c r="AO198">
        <f t="shared" si="44"/>
        <v>-0.21921045325175548</v>
      </c>
      <c r="AP198">
        <f t="shared" si="45"/>
        <v>0.12264390943361317</v>
      </c>
      <c r="AQ198">
        <f t="shared" si="46"/>
        <v>0.56233079393061769</v>
      </c>
      <c r="AR198">
        <f t="shared" si="47"/>
        <v>0.57190077441289433</v>
      </c>
    </row>
    <row r="199" spans="1:44" x14ac:dyDescent="0.25">
      <c r="A199">
        <v>197</v>
      </c>
      <c r="B199">
        <v>-32.043332999999997</v>
      </c>
      <c r="C199">
        <v>27.822778</v>
      </c>
      <c r="D199" s="1">
        <v>42275</v>
      </c>
      <c r="H199">
        <v>161</v>
      </c>
      <c r="I199">
        <v>10108</v>
      </c>
      <c r="J199">
        <v>8825.5</v>
      </c>
      <c r="K199">
        <v>531</v>
      </c>
      <c r="L199">
        <v>9706</v>
      </c>
      <c r="M199">
        <v>39</v>
      </c>
      <c r="O199">
        <v>9694.5</v>
      </c>
      <c r="P199">
        <v>1023</v>
      </c>
      <c r="Q199">
        <v>8741</v>
      </c>
      <c r="R199">
        <v>2035</v>
      </c>
      <c r="S199">
        <v>10046.5</v>
      </c>
      <c r="T199">
        <v>13619.5</v>
      </c>
      <c r="V199">
        <v>13105</v>
      </c>
      <c r="W199">
        <v>10969</v>
      </c>
      <c r="Y199">
        <v>21824</v>
      </c>
      <c r="AB199">
        <v>0.14799283531766899</v>
      </c>
      <c r="AC199">
        <v>0.22198457518543399</v>
      </c>
      <c r="AD199">
        <v>1.6820710499802799E-2</v>
      </c>
      <c r="AE199">
        <v>-1.9251997231005201E-2</v>
      </c>
      <c r="AF199">
        <v>-3053.2680500000001</v>
      </c>
      <c r="AG199">
        <f t="shared" si="36"/>
        <v>1.0868488656411526</v>
      </c>
      <c r="AH199">
        <f t="shared" si="37"/>
        <v>0.17167053135454569</v>
      </c>
      <c r="AI199">
        <f t="shared" si="38"/>
        <v>0.15097608383334743</v>
      </c>
      <c r="AJ199">
        <f t="shared" si="39"/>
        <v>3572</v>
      </c>
      <c r="AK199">
        <f t="shared" si="40"/>
        <v>0.96222328279305402</v>
      </c>
      <c r="AL199">
        <f t="shared" si="41"/>
        <v>0.10779429408056612</v>
      </c>
      <c r="AM199">
        <f t="shared" si="42"/>
        <v>0.99391571032845272</v>
      </c>
      <c r="AN199">
        <f t="shared" si="43"/>
        <v>-3.0514277208563844E-3</v>
      </c>
      <c r="AO199">
        <f t="shared" si="44"/>
        <v>-4.3898252069833554E-2</v>
      </c>
      <c r="AP199">
        <f t="shared" si="45"/>
        <v>8.872642685054416E-2</v>
      </c>
      <c r="AQ199">
        <f t="shared" si="46"/>
        <v>0.74217115165754988</v>
      </c>
      <c r="AR199">
        <f t="shared" si="47"/>
        <v>0.73765556738499949</v>
      </c>
    </row>
    <row r="200" spans="1:44" x14ac:dyDescent="0.25">
      <c r="A200">
        <v>198</v>
      </c>
      <c r="B200">
        <v>-33.001666999999998</v>
      </c>
      <c r="C200">
        <v>25.161389</v>
      </c>
      <c r="D200" s="1">
        <v>42012</v>
      </c>
      <c r="H200">
        <v>193</v>
      </c>
      <c r="I200">
        <v>11638</v>
      </c>
      <c r="J200">
        <v>9505</v>
      </c>
      <c r="K200">
        <v>1268</v>
      </c>
      <c r="L200">
        <v>9706</v>
      </c>
      <c r="M200">
        <v>52</v>
      </c>
      <c r="O200">
        <v>10848</v>
      </c>
      <c r="P200">
        <v>2705</v>
      </c>
      <c r="Q200">
        <v>6837</v>
      </c>
      <c r="R200">
        <v>7281.5</v>
      </c>
      <c r="S200">
        <v>10670</v>
      </c>
      <c r="T200">
        <v>13955.5</v>
      </c>
      <c r="V200">
        <v>17303.5</v>
      </c>
      <c r="W200">
        <v>14835.5</v>
      </c>
      <c r="Y200">
        <v>21824</v>
      </c>
      <c r="AB200">
        <v>9.0550335046007693E-2</v>
      </c>
      <c r="AC200">
        <v>0.13582284910525899</v>
      </c>
      <c r="AD200">
        <v>0.104595244456318</v>
      </c>
      <c r="AE200">
        <v>0.107105153715729</v>
      </c>
      <c r="AF200">
        <v>-6961.6146500000004</v>
      </c>
      <c r="AG200">
        <f t="shared" si="36"/>
        <v>0.46361126670400898</v>
      </c>
      <c r="AH200">
        <f t="shared" si="37"/>
        <v>0.10503773200081581</v>
      </c>
      <c r="AI200">
        <f t="shared" si="38"/>
        <v>0.13341861078962863</v>
      </c>
      <c r="AJ200">
        <f t="shared" si="39"/>
        <v>3284.5</v>
      </c>
      <c r="AK200">
        <f t="shared" si="40"/>
        <v>1.2399054136362009</v>
      </c>
      <c r="AL200">
        <f t="shared" si="41"/>
        <v>-3.0565107151540413E-2</v>
      </c>
      <c r="AM200">
        <f t="shared" si="42"/>
        <v>0.91682419659735348</v>
      </c>
      <c r="AN200">
        <f t="shared" si="43"/>
        <v>-4.3392504930966469E-2</v>
      </c>
      <c r="AO200">
        <f t="shared" si="44"/>
        <v>0.1491837641516649</v>
      </c>
      <c r="AP200">
        <f t="shared" si="45"/>
        <v>7.6791437194685591E-2</v>
      </c>
      <c r="AQ200">
        <f t="shared" si="46"/>
        <v>0.83393644082978036</v>
      </c>
      <c r="AR200">
        <f t="shared" si="47"/>
        <v>0.76457310737701978</v>
      </c>
    </row>
    <row r="201" spans="1:44" x14ac:dyDescent="0.25">
      <c r="A201">
        <v>199</v>
      </c>
      <c r="B201">
        <v>-33.237780000000001</v>
      </c>
      <c r="C201">
        <v>26.994720000000001</v>
      </c>
      <c r="D201" s="1">
        <v>41360</v>
      </c>
      <c r="H201">
        <v>-9999</v>
      </c>
      <c r="K201">
        <v>-9999</v>
      </c>
      <c r="L201">
        <v>-9999</v>
      </c>
      <c r="M201">
        <v>-9999</v>
      </c>
      <c r="O201">
        <v>-9999</v>
      </c>
      <c r="P201">
        <v>-9999</v>
      </c>
      <c r="Q201">
        <v>-9999</v>
      </c>
      <c r="R201">
        <v>-9999</v>
      </c>
      <c r="Y201">
        <v>1</v>
      </c>
      <c r="AA201">
        <v>-9999</v>
      </c>
    </row>
  </sheetData>
  <autoFilter ref="A1:AR201" xr:uid="{29E5497A-7E95-4A6A-9F88-B5B8AD2A45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landsat_features_validation_ros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 van den Bos</cp:lastModifiedBy>
  <dcterms:created xsi:type="dcterms:W3CDTF">2026-02-26T09:19:25Z</dcterms:created>
  <dcterms:modified xsi:type="dcterms:W3CDTF">2026-02-26T09:21:34Z</dcterms:modified>
</cp:coreProperties>
</file>